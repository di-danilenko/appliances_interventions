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dianadanilenko/Desktop/appliances_analysis/purchaseprobability/"/>
    </mc:Choice>
  </mc:AlternateContent>
  <xr:revisionPtr revIDLastSave="0" documentId="13_ncr:1_{48FB19B0-E9C3-E34A-910C-87CDBDE27965}" xr6:coauthVersionLast="47" xr6:coauthVersionMax="47" xr10:uidLastSave="{00000000-0000-0000-0000-000000000000}"/>
  <bookViews>
    <workbookView xWindow="-5280" yWindow="-21600" windowWidth="38400" windowHeight="21600" activeTab="1" xr2:uid="{00000000-000D-0000-FFFF-FFFF00000000}"/>
  </bookViews>
  <sheets>
    <sheet name="Usage" sheetId="5" state="hidden" r:id="rId1"/>
    <sheet name="Appliances" sheetId="4" r:id="rId2"/>
    <sheet name="Summary" sheetId="7" r:id="rId3"/>
    <sheet name="Lists for variables" sheetId="3" r:id="rId4"/>
  </sheets>
  <externalReferences>
    <externalReference r:id="rId5"/>
  </externalReferences>
  <definedNames>
    <definedName name="_xlnm._FilterDatabase" localSheetId="1" hidden="1">Appliances!$AR$1:$AR$153</definedName>
    <definedName name="_xlnm._FilterDatabase" localSheetId="0" hidden="1">Usage!$A$1:$BN$53</definedName>
  </definedNames>
  <calcPr calcId="191028"/>
  <pivotCaches>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102" i="4" l="1"/>
  <c r="CB14" i="4"/>
  <c r="CB15" i="4"/>
  <c r="CB16" i="4"/>
  <c r="CB17" i="4"/>
  <c r="CB13" i="4"/>
  <c r="AZ13" i="4"/>
  <c r="CA63" i="4"/>
  <c r="CA64" i="4"/>
  <c r="CA65" i="4"/>
  <c r="CA66" i="4"/>
  <c r="CA67" i="4"/>
  <c r="CA68" i="4"/>
  <c r="CA69" i="4"/>
  <c r="CA62" i="4"/>
  <c r="CA13" i="4"/>
  <c r="CB62" i="4"/>
  <c r="BX62" i="4" s="1"/>
  <c r="BY62" i="4" s="1"/>
  <c r="BZ62" i="4" s="1"/>
  <c r="CB63" i="4"/>
  <c r="BX63" i="4" s="1"/>
  <c r="BY63" i="4" s="1"/>
  <c r="BZ63" i="4" s="1"/>
  <c r="CB64" i="4"/>
  <c r="BX64" i="4" s="1"/>
  <c r="BY64" i="4" s="1"/>
  <c r="BZ64" i="4" s="1"/>
  <c r="CB65" i="4"/>
  <c r="BX65" i="4" s="1"/>
  <c r="BY65" i="4" s="1"/>
  <c r="BZ65" i="4" s="1"/>
  <c r="CB66" i="4"/>
  <c r="BX66" i="4" s="1"/>
  <c r="BY66" i="4" s="1"/>
  <c r="BZ66" i="4" s="1"/>
  <c r="CB67" i="4"/>
  <c r="BX67" i="4" s="1"/>
  <c r="BY67" i="4" s="1"/>
  <c r="BZ67" i="4" s="1"/>
  <c r="CB68" i="4"/>
  <c r="BX68" i="4" s="1"/>
  <c r="BY68" i="4" s="1"/>
  <c r="BZ68" i="4" s="1"/>
  <c r="CB69" i="4"/>
  <c r="BX69" i="4" s="1"/>
  <c r="BY69" i="4" s="1"/>
  <c r="BZ69" i="4" s="1"/>
  <c r="AU62" i="4"/>
  <c r="BX13" i="4" l="1"/>
  <c r="BY13" i="4" s="1"/>
  <c r="BZ13" i="4" s="1"/>
  <c r="CB9" i="4"/>
  <c r="CB8" i="4"/>
  <c r="BB74" i="4"/>
  <c r="BB106" i="4"/>
  <c r="BB107" i="4"/>
  <c r="BB112" i="4"/>
  <c r="BB111" i="4"/>
  <c r="BB108" i="4"/>
  <c r="BB104" i="4"/>
  <c r="BB105" i="4"/>
  <c r="BB103" i="4"/>
  <c r="BB113" i="4"/>
  <c r="BB114" i="4"/>
  <c r="BB110" i="4"/>
  <c r="BB109" i="4"/>
  <c r="BB31" i="4"/>
  <c r="BB29" i="4"/>
  <c r="BB30" i="4"/>
  <c r="BB32" i="4"/>
  <c r="BB33" i="4"/>
  <c r="BB34" i="4"/>
  <c r="BB101" i="4"/>
  <c r="BB98" i="4"/>
  <c r="BB97" i="4"/>
  <c r="BB100" i="4"/>
  <c r="BB99" i="4"/>
  <c r="BB83" i="4"/>
  <c r="BB81" i="4"/>
  <c r="BB79" i="4"/>
  <c r="BB80" i="4"/>
  <c r="BB82" i="4"/>
  <c r="BB84" i="4"/>
  <c r="BB94" i="4"/>
  <c r="BB92" i="4"/>
  <c r="BB96" i="4"/>
  <c r="BB55" i="4"/>
  <c r="BB50" i="4"/>
  <c r="BB41" i="4"/>
  <c r="BB28" i="4"/>
  <c r="BB27" i="4"/>
  <c r="BB73" i="4"/>
  <c r="BB93" i="4"/>
  <c r="BB91" i="4"/>
  <c r="BB95" i="4"/>
  <c r="BB72" i="4"/>
  <c r="BB153" i="4"/>
  <c r="BB152" i="4"/>
  <c r="BB133" i="4"/>
  <c r="BB134" i="4"/>
  <c r="BB129" i="4"/>
  <c r="BB130" i="4"/>
  <c r="BB132" i="4"/>
  <c r="BB127" i="4"/>
  <c r="BB128" i="4"/>
  <c r="BB126" i="4"/>
  <c r="BB52" i="4"/>
  <c r="BB43" i="4"/>
  <c r="BB46" i="4"/>
  <c r="BB51" i="4"/>
  <c r="BB42" i="4"/>
  <c r="BB48" i="4"/>
  <c r="BB53" i="4"/>
  <c r="BB47" i="4"/>
  <c r="BB45" i="4"/>
  <c r="BB54" i="4"/>
  <c r="BB49" i="4"/>
  <c r="BB44" i="4"/>
  <c r="BB78" i="4"/>
  <c r="BB75" i="4"/>
  <c r="BB77" i="4"/>
  <c r="BB76" i="4"/>
  <c r="BB89" i="4"/>
  <c r="BB88" i="4"/>
  <c r="BB86" i="4"/>
  <c r="BB85" i="4"/>
  <c r="BB87" i="4"/>
  <c r="BB90" i="4"/>
  <c r="BB60" i="4"/>
  <c r="BB61" i="4"/>
  <c r="BB71" i="4"/>
  <c r="BB70" i="4"/>
  <c r="BB143" i="4"/>
  <c r="BB142" i="4"/>
  <c r="BB144" i="4"/>
  <c r="BB145" i="4"/>
  <c r="BB21" i="4"/>
  <c r="BB22" i="4"/>
  <c r="BB26" i="4"/>
  <c r="BB23" i="4"/>
  <c r="BB24" i="4"/>
  <c r="BB20" i="4"/>
  <c r="BB25" i="4"/>
  <c r="BB19" i="4"/>
  <c r="BB18" i="4"/>
  <c r="BB135" i="4"/>
  <c r="BB136" i="4"/>
  <c r="BB125" i="4"/>
  <c r="BB131" i="4"/>
  <c r="BB150" i="4"/>
  <c r="BB146" i="4"/>
  <c r="BB148" i="4"/>
  <c r="BB151" i="4"/>
  <c r="BB147" i="4"/>
  <c r="BB149" i="4"/>
  <c r="BB38" i="4"/>
  <c r="BB40" i="4"/>
  <c r="BB35" i="4"/>
  <c r="BB37" i="4"/>
  <c r="BB39" i="4"/>
  <c r="BB36" i="4"/>
  <c r="BB10" i="4"/>
  <c r="BB11" i="4"/>
  <c r="BB7" i="4"/>
  <c r="BB3" i="4"/>
  <c r="BB2" i="4"/>
  <c r="BB4" i="4"/>
  <c r="BB5" i="4"/>
  <c r="BB6" i="4"/>
  <c r="AU69" i="4"/>
  <c r="BB69" i="4" s="1"/>
  <c r="AU68" i="4"/>
  <c r="BB68" i="4" s="1"/>
  <c r="AU67" i="4"/>
  <c r="BB67" i="4" s="1"/>
  <c r="AU66" i="4"/>
  <c r="BB66" i="4" s="1"/>
  <c r="AU65" i="4"/>
  <c r="BB65" i="4" s="1"/>
  <c r="AU64" i="4"/>
  <c r="BB64" i="4" s="1"/>
  <c r="AU63" i="4"/>
  <c r="BB63" i="4" s="1"/>
  <c r="BB62" i="4"/>
  <c r="AW144" i="4"/>
  <c r="AW142" i="4"/>
  <c r="AW143" i="4"/>
  <c r="AW145" i="4"/>
  <c r="CC124" i="4"/>
  <c r="AZ124" i="4" s="1"/>
  <c r="CC123" i="4"/>
  <c r="AZ123" i="4" s="1"/>
  <c r="BX123" i="4" s="1"/>
  <c r="BY123" i="4" s="1"/>
  <c r="BZ123" i="4" s="1"/>
  <c r="CC122" i="4"/>
  <c r="AZ122" i="4" s="1"/>
  <c r="CC121" i="4"/>
  <c r="AZ121" i="4" s="1"/>
  <c r="BX121" i="4" s="1"/>
  <c r="BY121" i="4" s="1"/>
  <c r="BZ121" i="4" s="1"/>
  <c r="CC120" i="4"/>
  <c r="AZ120" i="4" s="1"/>
  <c r="CC119" i="4"/>
  <c r="AZ119" i="4" s="1"/>
  <c r="CC118" i="4"/>
  <c r="AZ118" i="4" s="1"/>
  <c r="BX118" i="4" s="1"/>
  <c r="BY118" i="4" s="1"/>
  <c r="BZ118" i="4" s="1"/>
  <c r="CC117" i="4"/>
  <c r="AZ117" i="4" s="1"/>
  <c r="BX117" i="4" s="1"/>
  <c r="BY117" i="4" s="1"/>
  <c r="BZ117" i="4" s="1"/>
  <c r="CC116" i="4"/>
  <c r="AZ116" i="4" s="1"/>
  <c r="CC115" i="4"/>
  <c r="AZ115" i="4" s="1"/>
  <c r="BX115" i="4" s="1"/>
  <c r="BY115" i="4" s="1"/>
  <c r="BZ115" i="4" s="1"/>
  <c r="CC69" i="4"/>
  <c r="AZ69" i="4" s="1"/>
  <c r="CC63" i="4"/>
  <c r="AZ63" i="4" s="1"/>
  <c r="CC64" i="4"/>
  <c r="AZ64" i="4" s="1"/>
  <c r="CC65" i="4"/>
  <c r="AZ65" i="4" s="1"/>
  <c r="CC66" i="4"/>
  <c r="AZ66" i="4" s="1"/>
  <c r="CC67" i="4"/>
  <c r="AZ67" i="4" s="1"/>
  <c r="CC68" i="4"/>
  <c r="AZ68" i="4" s="1"/>
  <c r="CC62" i="4"/>
  <c r="AZ62" i="4" s="1"/>
  <c r="CC71" i="4"/>
  <c r="CC61" i="4"/>
  <c r="CC60" i="4"/>
  <c r="CC90" i="4"/>
  <c r="CC70" i="4"/>
  <c r="CC21" i="4"/>
  <c r="CC22" i="4"/>
  <c r="CC26" i="4"/>
  <c r="CC23" i="4"/>
  <c r="CC24" i="4"/>
  <c r="CC20" i="4"/>
  <c r="CC25" i="4"/>
  <c r="CC19" i="4"/>
  <c r="CC18" i="4"/>
  <c r="CC135" i="4"/>
  <c r="CC136" i="4"/>
  <c r="CC3" i="4"/>
  <c r="CC2" i="4"/>
  <c r="CC13" i="4"/>
  <c r="CC74" i="4"/>
  <c r="AZ74" i="4" s="1"/>
  <c r="CC106" i="4"/>
  <c r="AZ106" i="4" s="1"/>
  <c r="BX106" i="4" s="1"/>
  <c r="BY106" i="4" s="1"/>
  <c r="BZ106" i="4" s="1"/>
  <c r="CC107" i="4"/>
  <c r="AZ107" i="4" s="1"/>
  <c r="CC112" i="4"/>
  <c r="AZ112" i="4" s="1"/>
  <c r="CC111" i="4"/>
  <c r="AZ111" i="4" s="1"/>
  <c r="BX111" i="4" s="1"/>
  <c r="BY111" i="4" s="1"/>
  <c r="BZ111" i="4" s="1"/>
  <c r="CC108" i="4"/>
  <c r="AZ108" i="4" s="1"/>
  <c r="CC104" i="4"/>
  <c r="AZ104" i="4" s="1"/>
  <c r="BX104" i="4" s="1"/>
  <c r="BY104" i="4" s="1"/>
  <c r="BZ104" i="4" s="1"/>
  <c r="CC105" i="4"/>
  <c r="AZ105" i="4" s="1"/>
  <c r="CC103" i="4"/>
  <c r="AZ103" i="4" s="1"/>
  <c r="CC113" i="4"/>
  <c r="AZ113" i="4" s="1"/>
  <c r="CC114" i="4"/>
  <c r="AZ114" i="4" s="1"/>
  <c r="BX114" i="4" s="1"/>
  <c r="BY114" i="4" s="1"/>
  <c r="BZ114" i="4" s="1"/>
  <c r="CC110" i="4"/>
  <c r="AZ110" i="4" s="1"/>
  <c r="BX110" i="4" s="1"/>
  <c r="BY110" i="4" s="1"/>
  <c r="BZ110" i="4" s="1"/>
  <c r="CC109" i="4"/>
  <c r="AZ109" i="4" s="1"/>
  <c r="CC31" i="4"/>
  <c r="AZ31" i="4" s="1"/>
  <c r="CC29" i="4"/>
  <c r="AZ29" i="4" s="1"/>
  <c r="BX29" i="4" s="1"/>
  <c r="BY29" i="4" s="1"/>
  <c r="BZ29" i="4" s="1"/>
  <c r="CC30" i="4"/>
  <c r="AZ30" i="4" s="1"/>
  <c r="CC32" i="4"/>
  <c r="AZ32" i="4" s="1"/>
  <c r="CC33" i="4"/>
  <c r="AZ33" i="4" s="1"/>
  <c r="BX33" i="4" s="1"/>
  <c r="BY33" i="4" s="1"/>
  <c r="BZ33" i="4" s="1"/>
  <c r="CC34" i="4"/>
  <c r="AZ34" i="4" s="1"/>
  <c r="BX34" i="4" s="1"/>
  <c r="BY34" i="4" s="1"/>
  <c r="BZ34" i="4" s="1"/>
  <c r="CC101" i="4"/>
  <c r="AZ101" i="4" s="1"/>
  <c r="BX101" i="4" s="1"/>
  <c r="BY101" i="4" s="1"/>
  <c r="BZ101" i="4" s="1"/>
  <c r="CC102" i="4"/>
  <c r="AZ102" i="4" s="1"/>
  <c r="BX102" i="4" s="1"/>
  <c r="BY102" i="4" s="1"/>
  <c r="BZ102" i="4" s="1"/>
  <c r="CC98" i="4"/>
  <c r="AZ98" i="4" s="1"/>
  <c r="CC97" i="4"/>
  <c r="AZ97" i="4" s="1"/>
  <c r="BX97" i="4" s="1"/>
  <c r="BY97" i="4" s="1"/>
  <c r="BZ97" i="4" s="1"/>
  <c r="CC100" i="4"/>
  <c r="AZ100" i="4" s="1"/>
  <c r="BX100" i="4" s="1"/>
  <c r="BY100" i="4" s="1"/>
  <c r="BZ100" i="4" s="1"/>
  <c r="CC99" i="4"/>
  <c r="AZ99" i="4" s="1"/>
  <c r="BX99" i="4" s="1"/>
  <c r="BY99" i="4" s="1"/>
  <c r="BZ99" i="4" s="1"/>
  <c r="CC83" i="4"/>
  <c r="AZ83" i="4" s="1"/>
  <c r="BX83" i="4" s="1"/>
  <c r="BY83" i="4" s="1"/>
  <c r="BZ83" i="4" s="1"/>
  <c r="CC81" i="4"/>
  <c r="AZ81" i="4" s="1"/>
  <c r="CC79" i="4"/>
  <c r="AZ79" i="4" s="1"/>
  <c r="BX79" i="4" s="1"/>
  <c r="BY79" i="4" s="1"/>
  <c r="BZ79" i="4" s="1"/>
  <c r="CC80" i="4"/>
  <c r="AZ80" i="4" s="1"/>
  <c r="CC82" i="4"/>
  <c r="AZ82" i="4" s="1"/>
  <c r="CC84" i="4"/>
  <c r="AZ84" i="4" s="1"/>
  <c r="BX84" i="4" s="1"/>
  <c r="BY84" i="4" s="1"/>
  <c r="BZ84" i="4" s="1"/>
  <c r="CC94" i="4"/>
  <c r="CC92" i="4"/>
  <c r="CC96" i="4"/>
  <c r="CC55" i="4"/>
  <c r="AZ55" i="4" s="1"/>
  <c r="BX55" i="4" s="1"/>
  <c r="BY55" i="4" s="1"/>
  <c r="BZ55" i="4" s="1"/>
  <c r="CC50" i="4"/>
  <c r="AZ50" i="4" s="1"/>
  <c r="BX50" i="4" s="1"/>
  <c r="BY50" i="4" s="1"/>
  <c r="BZ50" i="4" s="1"/>
  <c r="CC41" i="4"/>
  <c r="AZ41" i="4" s="1"/>
  <c r="BX41" i="4" s="1"/>
  <c r="BY41" i="4" s="1"/>
  <c r="BZ41" i="4" s="1"/>
  <c r="CC28" i="4"/>
  <c r="CC27" i="4"/>
  <c r="CC73" i="4"/>
  <c r="AZ73" i="4" s="1"/>
  <c r="BX73" i="4" s="1"/>
  <c r="BY73" i="4" s="1"/>
  <c r="BZ73" i="4" s="1"/>
  <c r="CC93" i="4"/>
  <c r="CC91" i="4"/>
  <c r="CC95" i="4"/>
  <c r="CC72" i="4"/>
  <c r="AZ72" i="4" s="1"/>
  <c r="BX72" i="4" s="1"/>
  <c r="BY72" i="4" s="1"/>
  <c r="BZ72" i="4" s="1"/>
  <c r="CC153" i="4"/>
  <c r="CC152" i="4"/>
  <c r="CC133" i="4"/>
  <c r="CC134" i="4"/>
  <c r="CC129" i="4"/>
  <c r="CC130" i="4"/>
  <c r="CC132" i="4"/>
  <c r="CC127" i="4"/>
  <c r="CC128" i="4"/>
  <c r="CC126" i="4"/>
  <c r="CC52" i="4"/>
  <c r="AZ52" i="4" s="1"/>
  <c r="BX52" i="4" s="1"/>
  <c r="BY52" i="4" s="1"/>
  <c r="BZ52" i="4" s="1"/>
  <c r="CC43" i="4"/>
  <c r="AZ43" i="4" s="1"/>
  <c r="BX43" i="4" s="1"/>
  <c r="BY43" i="4" s="1"/>
  <c r="BZ43" i="4" s="1"/>
  <c r="CC46" i="4"/>
  <c r="AZ46" i="4" s="1"/>
  <c r="BX46" i="4" s="1"/>
  <c r="BY46" i="4" s="1"/>
  <c r="BZ46" i="4" s="1"/>
  <c r="CC51" i="4"/>
  <c r="AZ51" i="4" s="1"/>
  <c r="BX51" i="4" s="1"/>
  <c r="BY51" i="4" s="1"/>
  <c r="BZ51" i="4" s="1"/>
  <c r="CC42" i="4"/>
  <c r="AZ42" i="4" s="1"/>
  <c r="BX42" i="4" s="1"/>
  <c r="BY42" i="4" s="1"/>
  <c r="BZ42" i="4" s="1"/>
  <c r="CC48" i="4"/>
  <c r="AZ48" i="4" s="1"/>
  <c r="BX48" i="4" s="1"/>
  <c r="BY48" i="4" s="1"/>
  <c r="BZ48" i="4" s="1"/>
  <c r="CC53" i="4"/>
  <c r="AZ53" i="4" s="1"/>
  <c r="BX53" i="4" s="1"/>
  <c r="BY53" i="4" s="1"/>
  <c r="BZ53" i="4" s="1"/>
  <c r="CC47" i="4"/>
  <c r="AZ47" i="4" s="1"/>
  <c r="BX47" i="4" s="1"/>
  <c r="BY47" i="4" s="1"/>
  <c r="BZ47" i="4" s="1"/>
  <c r="CC45" i="4"/>
  <c r="AZ45" i="4" s="1"/>
  <c r="BX45" i="4" s="1"/>
  <c r="BY45" i="4" s="1"/>
  <c r="BZ45" i="4" s="1"/>
  <c r="CC54" i="4"/>
  <c r="AZ54" i="4" s="1"/>
  <c r="BX54" i="4" s="1"/>
  <c r="BY54" i="4" s="1"/>
  <c r="BZ54" i="4" s="1"/>
  <c r="CC49" i="4"/>
  <c r="AZ49" i="4" s="1"/>
  <c r="BX49" i="4" s="1"/>
  <c r="BY49" i="4" s="1"/>
  <c r="BZ49" i="4" s="1"/>
  <c r="CC44" i="4"/>
  <c r="AZ44" i="4" s="1"/>
  <c r="BX44" i="4" s="1"/>
  <c r="BY44" i="4" s="1"/>
  <c r="BZ44" i="4" s="1"/>
  <c r="CC78" i="4"/>
  <c r="AZ78" i="4" s="1"/>
  <c r="BX78" i="4" s="1"/>
  <c r="BY78" i="4" s="1"/>
  <c r="BZ78" i="4" s="1"/>
  <c r="CC75" i="4"/>
  <c r="AZ75" i="4" s="1"/>
  <c r="BX75" i="4" s="1"/>
  <c r="BY75" i="4" s="1"/>
  <c r="BZ75" i="4" s="1"/>
  <c r="CC77" i="4"/>
  <c r="AZ77" i="4" s="1"/>
  <c r="BX77" i="4" s="1"/>
  <c r="BY77" i="4" s="1"/>
  <c r="BZ77" i="4" s="1"/>
  <c r="CC76" i="4"/>
  <c r="AZ76" i="4" s="1"/>
  <c r="BX76" i="4" s="1"/>
  <c r="BY76" i="4" s="1"/>
  <c r="BZ76" i="4" s="1"/>
  <c r="CC89" i="4"/>
  <c r="CC88" i="4"/>
  <c r="CC86" i="4"/>
  <c r="CC85" i="4"/>
  <c r="CC87" i="4"/>
  <c r="CC143" i="4"/>
  <c r="CC142" i="4"/>
  <c r="CC144" i="4"/>
  <c r="CC145" i="4"/>
  <c r="CC125" i="4"/>
  <c r="CC131" i="4"/>
  <c r="CC150" i="4"/>
  <c r="CC146" i="4"/>
  <c r="CC148" i="4"/>
  <c r="CC151" i="4"/>
  <c r="CC147" i="4"/>
  <c r="CC149" i="4"/>
  <c r="CC38" i="4"/>
  <c r="CC40" i="4"/>
  <c r="CC35" i="4"/>
  <c r="CC37" i="4"/>
  <c r="CC39" i="4"/>
  <c r="CC36" i="4"/>
  <c r="CC10" i="4"/>
  <c r="CC11" i="4"/>
  <c r="CC7" i="4"/>
  <c r="CC4" i="4"/>
  <c r="CC5" i="4"/>
  <c r="CC6" i="4"/>
  <c r="CC137" i="4"/>
  <c r="AZ137" i="4" s="1"/>
  <c r="AW137" i="4" s="1"/>
  <c r="CC17" i="4"/>
  <c r="AZ17" i="4" s="1"/>
  <c r="AW17" i="4" s="1"/>
  <c r="BX17" i="4" s="1"/>
  <c r="BY17" i="4" s="1"/>
  <c r="BZ17" i="4" s="1"/>
  <c r="CC16" i="4"/>
  <c r="AZ16" i="4" s="1"/>
  <c r="AW16" i="4" s="1"/>
  <c r="BX16" i="4" s="1"/>
  <c r="BY16" i="4" s="1"/>
  <c r="BZ16" i="4" s="1"/>
  <c r="CC15" i="4"/>
  <c r="AW15" i="4" s="1"/>
  <c r="BX15" i="4" s="1"/>
  <c r="BY15" i="4" s="1"/>
  <c r="BZ15" i="4" s="1"/>
  <c r="CC14" i="4"/>
  <c r="AZ14" i="4" s="1"/>
  <c r="AW14" i="4" s="1"/>
  <c r="BX14" i="4" s="1"/>
  <c r="BY14" i="4" s="1"/>
  <c r="BZ14" i="4" s="1"/>
  <c r="CC12" i="4"/>
  <c r="AW12" i="4" s="1"/>
  <c r="CC8" i="4"/>
  <c r="CC9" i="4"/>
  <c r="CC59" i="4"/>
  <c r="AZ59" i="4" s="1"/>
  <c r="BX59" i="4" s="1"/>
  <c r="BY59" i="4" s="1"/>
  <c r="BZ59" i="4" s="1"/>
  <c r="CC58" i="4"/>
  <c r="AZ58" i="4" s="1"/>
  <c r="BX58" i="4" s="1"/>
  <c r="BY58" i="4" s="1"/>
  <c r="BZ58" i="4" s="1"/>
  <c r="CC57" i="4"/>
  <c r="AZ57" i="4" s="1"/>
  <c r="BX57" i="4" s="1"/>
  <c r="BY57" i="4" s="1"/>
  <c r="BZ57" i="4" s="1"/>
  <c r="CC56" i="4"/>
  <c r="AZ56" i="4" s="1"/>
  <c r="BX56" i="4" s="1"/>
  <c r="BY56" i="4" s="1"/>
  <c r="BZ56" i="4" s="1"/>
  <c r="BD8" i="4"/>
  <c r="BD9" i="4"/>
  <c r="CA12" i="4"/>
  <c r="CA8" i="4"/>
  <c r="CA9" i="4"/>
  <c r="CA17" i="4"/>
  <c r="CA16" i="4"/>
  <c r="CA15" i="4"/>
  <c r="CA14" i="4"/>
  <c r="CA137" i="4"/>
  <c r="BA113" i="4"/>
  <c r="BA110" i="4"/>
  <c r="CA110" i="4"/>
  <c r="BA137" i="4"/>
  <c r="BA2" i="4"/>
  <c r="CA2" i="4"/>
  <c r="BX2" i="4"/>
  <c r="BY2" i="4" s="1"/>
  <c r="BZ2" i="4" s="1"/>
  <c r="CA106" i="4"/>
  <c r="CA107" i="4"/>
  <c r="CA112" i="4"/>
  <c r="CA111" i="4"/>
  <c r="CA108" i="4"/>
  <c r="CA104" i="4"/>
  <c r="CA105" i="4"/>
  <c r="CA103" i="4"/>
  <c r="CA113" i="4"/>
  <c r="CA114" i="4"/>
  <c r="CA109" i="4"/>
  <c r="CA101" i="4"/>
  <c r="CA102" i="4"/>
  <c r="CA98" i="4"/>
  <c r="CA97" i="4"/>
  <c r="CA100" i="4"/>
  <c r="CA99" i="4"/>
  <c r="CA31" i="4"/>
  <c r="CA29" i="4"/>
  <c r="CA30" i="4"/>
  <c r="CA32" i="4"/>
  <c r="CA33" i="4"/>
  <c r="CA34" i="4"/>
  <c r="CA124" i="4"/>
  <c r="CA123" i="4"/>
  <c r="CA122" i="4"/>
  <c r="CA121" i="4"/>
  <c r="CA120" i="4"/>
  <c r="CA119" i="4"/>
  <c r="CA118" i="4"/>
  <c r="CA117" i="4"/>
  <c r="CA116" i="4"/>
  <c r="CA115" i="4"/>
  <c r="CA78" i="4"/>
  <c r="CA75" i="4"/>
  <c r="CA77" i="4"/>
  <c r="CA76" i="4"/>
  <c r="CA74" i="4"/>
  <c r="CA28" i="4"/>
  <c r="CA27" i="4"/>
  <c r="CA72" i="4"/>
  <c r="CA73" i="4"/>
  <c r="CA59" i="4"/>
  <c r="CA58" i="4"/>
  <c r="CA57" i="4"/>
  <c r="CA56" i="4"/>
  <c r="CA153" i="4"/>
  <c r="CA152" i="4"/>
  <c r="CA89" i="4"/>
  <c r="CA88" i="4"/>
  <c r="CA86" i="4"/>
  <c r="CA85" i="4"/>
  <c r="CA87" i="4"/>
  <c r="CA90" i="4"/>
  <c r="CA60" i="4"/>
  <c r="CA61" i="4"/>
  <c r="CA71" i="4"/>
  <c r="CA70" i="4"/>
  <c r="CA143" i="4"/>
  <c r="CA142" i="4"/>
  <c r="CA144" i="4"/>
  <c r="CA145" i="4"/>
  <c r="CA21" i="4"/>
  <c r="CA22" i="4"/>
  <c r="CA26" i="4"/>
  <c r="CA23" i="4"/>
  <c r="CA24" i="4"/>
  <c r="CA20" i="4"/>
  <c r="CA25" i="4"/>
  <c r="CA19" i="4"/>
  <c r="CA18" i="4"/>
  <c r="CA135" i="4"/>
  <c r="CA136" i="4"/>
  <c r="CA10" i="4"/>
  <c r="CA11" i="4"/>
  <c r="CA7" i="4"/>
  <c r="CA3" i="4"/>
  <c r="CA133" i="4"/>
  <c r="CA134" i="4"/>
  <c r="CA129" i="4"/>
  <c r="CA130" i="4"/>
  <c r="CA132" i="4"/>
  <c r="CA127" i="4"/>
  <c r="CA128" i="4"/>
  <c r="CA126" i="4"/>
  <c r="CA125" i="4"/>
  <c r="CA131" i="4"/>
  <c r="CA150" i="4"/>
  <c r="CA146" i="4"/>
  <c r="CA148" i="4"/>
  <c r="CA151" i="4"/>
  <c r="CA147" i="4"/>
  <c r="CA149" i="4"/>
  <c r="CA94" i="4"/>
  <c r="CA92" i="4"/>
  <c r="CA96" i="4"/>
  <c r="CA93" i="4"/>
  <c r="CA91" i="4"/>
  <c r="CA95" i="4"/>
  <c r="CA52" i="4"/>
  <c r="CA43" i="4"/>
  <c r="CA46" i="4"/>
  <c r="CA51" i="4"/>
  <c r="CA42" i="4"/>
  <c r="CA48" i="4"/>
  <c r="CA55" i="4"/>
  <c r="CA50" i="4"/>
  <c r="CA41" i="4"/>
  <c r="CA53" i="4"/>
  <c r="CA47" i="4"/>
  <c r="CA45" i="4"/>
  <c r="CA54" i="4"/>
  <c r="CA49" i="4"/>
  <c r="CA44" i="4"/>
  <c r="CA38" i="4"/>
  <c r="CA40" i="4"/>
  <c r="CA35" i="4"/>
  <c r="CA37" i="4"/>
  <c r="CA39" i="4"/>
  <c r="CA36" i="4"/>
  <c r="CA83" i="4"/>
  <c r="CA81" i="4"/>
  <c r="CA79" i="4"/>
  <c r="CA80" i="4"/>
  <c r="CA82" i="4"/>
  <c r="CA84" i="4"/>
  <c r="CA4" i="4"/>
  <c r="CA5" i="4"/>
  <c r="BX107" i="4"/>
  <c r="BY107" i="4" s="1"/>
  <c r="BZ107" i="4" s="1"/>
  <c r="BX112" i="4"/>
  <c r="BY112" i="4" s="1"/>
  <c r="BZ112" i="4" s="1"/>
  <c r="BX108" i="4"/>
  <c r="BY108" i="4" s="1"/>
  <c r="BZ108" i="4" s="1"/>
  <c r="BX105" i="4"/>
  <c r="BY105" i="4" s="1"/>
  <c r="BZ105" i="4" s="1"/>
  <c r="BX103" i="4"/>
  <c r="BY103" i="4" s="1"/>
  <c r="BZ103" i="4" s="1"/>
  <c r="BX109" i="4"/>
  <c r="BY109" i="4" s="1"/>
  <c r="BZ109" i="4" s="1"/>
  <c r="BX98" i="4"/>
  <c r="BY98" i="4" s="1"/>
  <c r="BZ98" i="4" s="1"/>
  <c r="BX31" i="4"/>
  <c r="BY31" i="4" s="1"/>
  <c r="BZ31" i="4" s="1"/>
  <c r="BX30" i="4"/>
  <c r="BY30" i="4" s="1"/>
  <c r="BZ30" i="4" s="1"/>
  <c r="BX32" i="4"/>
  <c r="BY32" i="4" s="1"/>
  <c r="BZ32" i="4" s="1"/>
  <c r="BX124" i="4"/>
  <c r="BY124" i="4" s="1"/>
  <c r="BZ124" i="4" s="1"/>
  <c r="BX122" i="4"/>
  <c r="BY122" i="4" s="1"/>
  <c r="BZ122" i="4" s="1"/>
  <c r="BX120" i="4"/>
  <c r="BY120" i="4" s="1"/>
  <c r="BZ120" i="4" s="1"/>
  <c r="BX119" i="4"/>
  <c r="BY119" i="4" s="1"/>
  <c r="BZ119" i="4" s="1"/>
  <c r="BX116" i="4"/>
  <c r="BY116" i="4" s="1"/>
  <c r="BZ116" i="4" s="1"/>
  <c r="BX74" i="4"/>
  <c r="BY74" i="4" s="1"/>
  <c r="BZ74" i="4" s="1"/>
  <c r="BX28" i="4"/>
  <c r="BY28" i="4" s="1"/>
  <c r="BZ28" i="4" s="1"/>
  <c r="BX27" i="4"/>
  <c r="BY27" i="4" s="1"/>
  <c r="BZ27" i="4" s="1"/>
  <c r="BX143" i="4"/>
  <c r="BY143" i="4" s="1"/>
  <c r="BZ143" i="4" s="1"/>
  <c r="BX142" i="4"/>
  <c r="BY142" i="4" s="1"/>
  <c r="BZ142" i="4" s="1"/>
  <c r="BX144" i="4"/>
  <c r="BY144" i="4" s="1"/>
  <c r="BZ144" i="4" s="1"/>
  <c r="BX145" i="4"/>
  <c r="BY145" i="4" s="1"/>
  <c r="BZ145" i="4" s="1"/>
  <c r="BX3" i="4"/>
  <c r="BY3" i="4" s="1"/>
  <c r="BZ3" i="4" s="1"/>
  <c r="BX82" i="4"/>
  <c r="BY82" i="4" s="1"/>
  <c r="BZ82" i="4" s="1"/>
  <c r="CA6" i="4"/>
  <c r="CB137" i="4" l="1"/>
  <c r="BX137" i="4" s="1"/>
  <c r="BY137" i="4" s="1"/>
  <c r="BZ137" i="4" s="1"/>
  <c r="BX80" i="4"/>
  <c r="BY80" i="4" s="1"/>
  <c r="BZ80" i="4" s="1"/>
  <c r="BX81" i="4"/>
  <c r="BY81" i="4" s="1"/>
  <c r="BZ81" i="4" s="1"/>
  <c r="BA5" i="4"/>
  <c r="BA4" i="4"/>
  <c r="BA6" i="4"/>
  <c r="BA135" i="4"/>
  <c r="BA136" i="4"/>
  <c r="BA10" i="4"/>
  <c r="BA11" i="4"/>
  <c r="BA7" i="4"/>
  <c r="BA3" i="4"/>
  <c r="BA74" i="4"/>
  <c r="BA28" i="4"/>
  <c r="BA27" i="4"/>
  <c r="BA72" i="4"/>
  <c r="BA73" i="4"/>
  <c r="BA153" i="4"/>
  <c r="BA152" i="4"/>
  <c r="BA76" i="4"/>
  <c r="BA77" i="4"/>
  <c r="BA75" i="4"/>
  <c r="BA78" i="4"/>
  <c r="BA32" i="4"/>
  <c r="BA33" i="4"/>
  <c r="BA34" i="4"/>
  <c r="BA29" i="4"/>
  <c r="BA30" i="4"/>
  <c r="BA31" i="4"/>
  <c r="BA101" i="4"/>
  <c r="BA100" i="4"/>
  <c r="BA99" i="4"/>
  <c r="BA102" i="4"/>
  <c r="BA98" i="4"/>
  <c r="BA97" i="4"/>
  <c r="BA106" i="4"/>
  <c r="BA107" i="4"/>
  <c r="BA112" i="4"/>
  <c r="BA111" i="4"/>
  <c r="BA108" i="4"/>
  <c r="BA104" i="4"/>
  <c r="BA105" i="4"/>
  <c r="BA103" i="4"/>
  <c r="BA114" i="4"/>
  <c r="BA109" i="4"/>
  <c r="BA89" i="4"/>
  <c r="BA88" i="4"/>
  <c r="BA86" i="4"/>
  <c r="BA85" i="4"/>
  <c r="BA87" i="4"/>
  <c r="BA90" i="4"/>
  <c r="BA60" i="4"/>
  <c r="BA61" i="4"/>
  <c r="BA71" i="4"/>
  <c r="BA70" i="4"/>
  <c r="BA143" i="4"/>
  <c r="BA142" i="4"/>
  <c r="BA144" i="4"/>
  <c r="BA145" i="4"/>
  <c r="BA125" i="4"/>
  <c r="BA126" i="4"/>
  <c r="BA128" i="4"/>
  <c r="BA127" i="4"/>
  <c r="BA132" i="4"/>
  <c r="BA130" i="4"/>
  <c r="BA129" i="4"/>
  <c r="BA134" i="4"/>
  <c r="BA133" i="4"/>
  <c r="BA131" i="4"/>
  <c r="BA94" i="4"/>
  <c r="BA92" i="4"/>
  <c r="BA96" i="4"/>
  <c r="BA93" i="4"/>
  <c r="BA91" i="4"/>
  <c r="BA95" i="4"/>
  <c r="BA52" i="4"/>
  <c r="BA43" i="4"/>
  <c r="BA46" i="4"/>
  <c r="BA51" i="4"/>
  <c r="BA42" i="4"/>
  <c r="BA48" i="4"/>
  <c r="BA55" i="4"/>
  <c r="BA50" i="4"/>
  <c r="BA41" i="4"/>
  <c r="BA53" i="4"/>
  <c r="BA47" i="4"/>
  <c r="BA45" i="4"/>
  <c r="BA54" i="4"/>
  <c r="BA49" i="4"/>
  <c r="BA44" i="4"/>
  <c r="BA39" i="4"/>
  <c r="BA37" i="4"/>
  <c r="BA35" i="4"/>
  <c r="BA40" i="4"/>
  <c r="BA38" i="4"/>
  <c r="BA36" i="4"/>
  <c r="BQ74" i="4" l="1"/>
  <c r="BA19" i="4"/>
  <c r="BA25" i="4"/>
  <c r="BA20" i="4"/>
  <c r="BA24" i="4"/>
  <c r="BA23" i="4"/>
  <c r="BA26" i="4"/>
  <c r="BA22" i="4"/>
  <c r="BA21" i="4"/>
  <c r="BA18" i="4"/>
  <c r="BK139" i="4" l="1"/>
  <c r="BK140" i="4"/>
  <c r="BK141" i="4"/>
  <c r="BK138" i="4"/>
  <c r="BI139" i="4"/>
  <c r="CC139" i="4" s="1"/>
  <c r="AZ139" i="4" s="1"/>
  <c r="BI140" i="4"/>
  <c r="CC140" i="4" s="1"/>
  <c r="BI141" i="4"/>
  <c r="CC141" i="4" s="1"/>
  <c r="BI138" i="4"/>
  <c r="CC138" i="4" s="1"/>
  <c r="AZ138" i="4" s="1"/>
  <c r="BA138" i="4" l="1"/>
  <c r="CB138" i="4"/>
  <c r="BX138" i="4" s="1"/>
  <c r="BY138" i="4" s="1"/>
  <c r="BZ138" i="4" s="1"/>
  <c r="BA141" i="4"/>
  <c r="CB141" i="4"/>
  <c r="BX141" i="4" s="1"/>
  <c r="BY141" i="4" s="1"/>
  <c r="BZ141" i="4" s="1"/>
  <c r="BA140" i="4"/>
  <c r="CB140" i="4"/>
  <c r="BX140" i="4" s="1"/>
  <c r="BY140" i="4" s="1"/>
  <c r="BZ140" i="4" s="1"/>
  <c r="BA139" i="4"/>
  <c r="CB139" i="4"/>
  <c r="BX139" i="4" s="1"/>
  <c r="BY139" i="4" s="1"/>
  <c r="BZ139" i="4" s="1"/>
  <c r="CA138" i="4"/>
  <c r="CA141" i="4"/>
  <c r="CA140" i="4"/>
  <c r="CA139" i="4"/>
  <c r="BJ78" i="4"/>
  <c r="BJ75" i="4"/>
  <c r="BJ77" i="4"/>
  <c r="BJ76" i="4"/>
  <c r="AW28" i="4" l="1"/>
  <c r="AW27" i="4"/>
  <c r="AZ153" i="4" l="1"/>
  <c r="BX153" i="4" s="1"/>
  <c r="BY153" i="4" s="1"/>
  <c r="BZ153" i="4" s="1"/>
  <c r="AZ152" i="4"/>
  <c r="BX152" i="4" s="1"/>
  <c r="BY152" i="4" s="1"/>
  <c r="BZ152" i="4" s="1"/>
  <c r="AW3" i="4" l="1"/>
  <c r="AZ89" i="4"/>
  <c r="BX89" i="4" s="1"/>
  <c r="BY89" i="4" s="1"/>
  <c r="BZ89" i="4" s="1"/>
  <c r="AZ88" i="4"/>
  <c r="BX88" i="4" s="1"/>
  <c r="BY88" i="4" s="1"/>
  <c r="BZ88" i="4" s="1"/>
  <c r="AZ86" i="4"/>
  <c r="BX86" i="4" s="1"/>
  <c r="BY86" i="4" s="1"/>
  <c r="BZ86" i="4" s="1"/>
  <c r="AZ85" i="4"/>
  <c r="BX85" i="4" s="1"/>
  <c r="BY85" i="4" s="1"/>
  <c r="BZ85" i="4" s="1"/>
  <c r="AZ87" i="4"/>
  <c r="BX87" i="4" s="1"/>
  <c r="BY87" i="4" s="1"/>
  <c r="BZ87" i="4" s="1"/>
  <c r="AZ90" i="4"/>
  <c r="BX90" i="4" s="1"/>
  <c r="BY90" i="4" s="1"/>
  <c r="BZ90" i="4" s="1"/>
  <c r="AZ60" i="4"/>
  <c r="BX60" i="4" s="1"/>
  <c r="BY60" i="4" s="1"/>
  <c r="BZ60" i="4" s="1"/>
  <c r="AZ61" i="4"/>
  <c r="BX61" i="4" s="1"/>
  <c r="BY61" i="4" s="1"/>
  <c r="BZ61" i="4" s="1"/>
  <c r="AZ71" i="4"/>
  <c r="BX71" i="4" s="1"/>
  <c r="BY71" i="4" s="1"/>
  <c r="BZ71" i="4" s="1"/>
  <c r="AZ70" i="4"/>
  <c r="BX70" i="4" s="1"/>
  <c r="BY70" i="4" s="1"/>
  <c r="BZ70" i="4" s="1"/>
  <c r="BK12" i="4"/>
  <c r="AZ21" i="4"/>
  <c r="BX21" i="4" s="1"/>
  <c r="BY21" i="4" s="1"/>
  <c r="BZ21" i="4" s="1"/>
  <c r="AZ22" i="4"/>
  <c r="BX22" i="4" s="1"/>
  <c r="BY22" i="4" s="1"/>
  <c r="BZ22" i="4" s="1"/>
  <c r="AZ26" i="4"/>
  <c r="BX26" i="4" s="1"/>
  <c r="BY26" i="4" s="1"/>
  <c r="BZ26" i="4" s="1"/>
  <c r="AZ23" i="4"/>
  <c r="BX23" i="4" s="1"/>
  <c r="BY23" i="4" s="1"/>
  <c r="BZ23" i="4" s="1"/>
  <c r="AZ24" i="4"/>
  <c r="BX24" i="4" s="1"/>
  <c r="BY24" i="4" s="1"/>
  <c r="BZ24" i="4" s="1"/>
  <c r="AZ20" i="4"/>
  <c r="BX20" i="4" s="1"/>
  <c r="BY20" i="4" s="1"/>
  <c r="BZ20" i="4" s="1"/>
  <c r="AZ25" i="4"/>
  <c r="BX25" i="4" s="1"/>
  <c r="BY25" i="4" s="1"/>
  <c r="BZ25" i="4" s="1"/>
  <c r="AZ19" i="4"/>
  <c r="AZ18" i="4"/>
  <c r="BX18" i="4" s="1"/>
  <c r="BY18" i="4" s="1"/>
  <c r="BZ18" i="4" s="1"/>
  <c r="AZ135" i="4"/>
  <c r="BX135" i="4" s="1"/>
  <c r="BY135" i="4" s="1"/>
  <c r="BZ135" i="4" s="1"/>
  <c r="AZ136" i="4"/>
  <c r="BX136" i="4" s="1"/>
  <c r="BY136" i="4" s="1"/>
  <c r="BZ136" i="4" s="1"/>
  <c r="BA12" i="4" l="1"/>
  <c r="CB12" i="4"/>
  <c r="BX12" i="4" s="1"/>
  <c r="BY12" i="4" s="1"/>
  <c r="BZ12" i="4" s="1"/>
  <c r="BX19" i="4"/>
  <c r="BY19" i="4" s="1"/>
  <c r="BZ19" i="4" s="1"/>
  <c r="BX113" i="4"/>
  <c r="BY113" i="4" s="1"/>
  <c r="BZ113" i="4" s="1"/>
  <c r="AZ10" i="4"/>
  <c r="BX10" i="4" s="1"/>
  <c r="BY10" i="4" s="1"/>
  <c r="BZ10" i="4" s="1"/>
  <c r="AZ11" i="4"/>
  <c r="BX11" i="4" s="1"/>
  <c r="AZ7" i="4"/>
  <c r="BX7" i="4" s="1"/>
  <c r="BY7" i="4" s="1"/>
  <c r="BZ7" i="4" s="1"/>
  <c r="AZ8" i="4"/>
  <c r="AZ9" i="4"/>
  <c r="BY11" i="4" l="1"/>
  <c r="BZ11" i="4" s="1"/>
  <c r="BX9" i="4"/>
  <c r="BY9" i="4" s="1"/>
  <c r="BZ9" i="4" s="1"/>
  <c r="BX8" i="4"/>
  <c r="AZ150" i="4"/>
  <c r="BX150" i="4" s="1"/>
  <c r="BY150" i="4" s="1"/>
  <c r="BZ150" i="4" s="1"/>
  <c r="AZ146" i="4"/>
  <c r="BX146" i="4" s="1"/>
  <c r="BY146" i="4" s="1"/>
  <c r="BZ146" i="4" s="1"/>
  <c r="AZ148" i="4"/>
  <c r="BX148" i="4" s="1"/>
  <c r="BY148" i="4" s="1"/>
  <c r="BZ148" i="4" s="1"/>
  <c r="AZ151" i="4"/>
  <c r="BX151" i="4" s="1"/>
  <c r="BY151" i="4" s="1"/>
  <c r="BZ151" i="4" s="1"/>
  <c r="AZ147" i="4"/>
  <c r="BX147" i="4" s="1"/>
  <c r="BY147" i="4" s="1"/>
  <c r="BZ147" i="4" s="1"/>
  <c r="AZ149" i="4"/>
  <c r="BX149" i="4" s="1"/>
  <c r="BY149" i="4" s="1"/>
  <c r="BZ149" i="4" s="1"/>
  <c r="BY8" i="4" l="1"/>
  <c r="BZ8" i="4" s="1"/>
  <c r="AZ133" i="4"/>
  <c r="BX133" i="4" s="1"/>
  <c r="BY133" i="4" s="1"/>
  <c r="BZ133" i="4" s="1"/>
  <c r="AZ134" i="4"/>
  <c r="BX134" i="4" s="1"/>
  <c r="BY134" i="4" s="1"/>
  <c r="BZ134" i="4" s="1"/>
  <c r="AZ129" i="4"/>
  <c r="BX129" i="4" s="1"/>
  <c r="BY129" i="4" s="1"/>
  <c r="BZ129" i="4" s="1"/>
  <c r="AZ130" i="4"/>
  <c r="BX130" i="4" s="1"/>
  <c r="BY130" i="4" s="1"/>
  <c r="BZ130" i="4" s="1"/>
  <c r="AZ132" i="4"/>
  <c r="BX132" i="4" s="1"/>
  <c r="BY132" i="4" s="1"/>
  <c r="BZ132" i="4" s="1"/>
  <c r="AZ127" i="4"/>
  <c r="BX127" i="4" s="1"/>
  <c r="BY127" i="4" s="1"/>
  <c r="BZ127" i="4" s="1"/>
  <c r="AZ128" i="4"/>
  <c r="BX128" i="4" s="1"/>
  <c r="BY128" i="4" s="1"/>
  <c r="BZ128" i="4" s="1"/>
  <c r="AZ126" i="4"/>
  <c r="BX126" i="4" s="1"/>
  <c r="BY126" i="4" s="1"/>
  <c r="BZ126" i="4" s="1"/>
  <c r="AZ125" i="4"/>
  <c r="BX125" i="4" s="1"/>
  <c r="BY125" i="4" s="1"/>
  <c r="BZ125" i="4" s="1"/>
  <c r="AZ131" i="4"/>
  <c r="BX131" i="4" s="1"/>
  <c r="BY131" i="4" s="1"/>
  <c r="BZ131" i="4" s="1"/>
  <c r="AZ94" i="4" l="1"/>
  <c r="BX94" i="4" s="1"/>
  <c r="BY94" i="4" s="1"/>
  <c r="BZ94" i="4" s="1"/>
  <c r="AZ92" i="4"/>
  <c r="BX92" i="4" s="1"/>
  <c r="BY92" i="4" s="1"/>
  <c r="BZ92" i="4" s="1"/>
  <c r="AZ96" i="4"/>
  <c r="BX96" i="4" s="1"/>
  <c r="BY96" i="4" s="1"/>
  <c r="BZ96" i="4" s="1"/>
  <c r="AZ93" i="4"/>
  <c r="BX93" i="4" s="1"/>
  <c r="BY93" i="4" s="1"/>
  <c r="BZ93" i="4" s="1"/>
  <c r="AZ91" i="4"/>
  <c r="BX91" i="4" s="1"/>
  <c r="BY91" i="4" s="1"/>
  <c r="BZ91" i="4" s="1"/>
  <c r="AZ95" i="4"/>
  <c r="BX95" i="4" s="1"/>
  <c r="BY95" i="4" s="1"/>
  <c r="BZ95" i="4" s="1"/>
  <c r="AZ38" i="4" l="1"/>
  <c r="BX38" i="4" s="1"/>
  <c r="BY38" i="4" s="1"/>
  <c r="BZ38" i="4" s="1"/>
  <c r="AZ40" i="4"/>
  <c r="BX40" i="4" s="1"/>
  <c r="BY40" i="4" s="1"/>
  <c r="BZ40" i="4" s="1"/>
  <c r="AZ35" i="4"/>
  <c r="BX35" i="4" s="1"/>
  <c r="BY35" i="4" s="1"/>
  <c r="BZ35" i="4" s="1"/>
  <c r="AZ36" i="4"/>
  <c r="BX36" i="4" s="1"/>
  <c r="BY36" i="4" s="1"/>
  <c r="BZ36" i="4" s="1"/>
  <c r="AZ37" i="4"/>
  <c r="BX37" i="4" s="1"/>
  <c r="BY37" i="4" s="1"/>
  <c r="BZ37" i="4" s="1"/>
  <c r="AZ39" i="4"/>
  <c r="BX39" i="4" s="1"/>
  <c r="BY39" i="4" s="1"/>
  <c r="BZ39" i="4" s="1"/>
  <c r="AZ6" i="4"/>
  <c r="BX6" i="4" s="1"/>
  <c r="BY6" i="4" s="1"/>
  <c r="BZ6" i="4" s="1"/>
  <c r="AZ5" i="4"/>
  <c r="BX5" i="4" s="1"/>
  <c r="BY5" i="4" s="1"/>
  <c r="BZ5" i="4" s="1"/>
  <c r="AZ4" i="4"/>
  <c r="BX4" i="4" s="1"/>
  <c r="BY4" i="4" l="1"/>
  <c r="BZ4" i="4" s="1"/>
  <c r="BG4" i="4"/>
  <c r="BG5" i="4"/>
  <c r="BG6" i="4"/>
  <c r="BM53" i="5"/>
  <c r="BJ53" i="5"/>
  <c r="BK53" i="5" s="1"/>
  <c r="BL53" i="5" s="1"/>
  <c r="BI53" i="5"/>
  <c r="BG53" i="5"/>
  <c r="BK52" i="5"/>
  <c r="BG52" i="5"/>
  <c r="AL52" i="5"/>
  <c r="BM52" i="5" s="1"/>
  <c r="BM51" i="5"/>
  <c r="AP51" i="5"/>
  <c r="BM50" i="5"/>
  <c r="AP50" i="5"/>
  <c r="B50" i="5"/>
  <c r="B51" i="5" s="1"/>
  <c r="B52" i="5" s="1"/>
  <c r="BM49" i="5"/>
  <c r="BK49" i="5"/>
  <c r="BL49" i="5" s="1"/>
  <c r="AP49" i="5"/>
  <c r="BM48" i="5"/>
  <c r="AP48" i="5"/>
  <c r="BM47" i="5"/>
  <c r="AP47" i="5"/>
  <c r="BM46" i="5"/>
  <c r="AP46" i="5"/>
  <c r="B46" i="5"/>
  <c r="B47" i="5" s="1"/>
  <c r="B48" i="5" s="1"/>
  <c r="BM45" i="5"/>
  <c r="AP45" i="5"/>
  <c r="BM44" i="5"/>
  <c r="AP44" i="5"/>
  <c r="BM43" i="5"/>
  <c r="AP43" i="5"/>
  <c r="BN42" i="5"/>
  <c r="BJ42" i="5" s="1"/>
  <c r="BK42" i="5" s="1"/>
  <c r="BG42" i="5"/>
  <c r="AQ42" i="5"/>
  <c r="AL42" i="5"/>
  <c r="BM42" i="5" s="1"/>
  <c r="B42" i="5"/>
  <c r="B43" i="5" s="1"/>
  <c r="B44" i="5" s="1"/>
  <c r="BN41" i="5"/>
  <c r="BJ41" i="5" s="1"/>
  <c r="BK41" i="5" s="1"/>
  <c r="BG41" i="5"/>
  <c r="AQ41" i="5"/>
  <c r="AL41" i="5"/>
  <c r="BM41" i="5" s="1"/>
  <c r="BK40" i="5"/>
  <c r="BG40" i="5"/>
  <c r="AQ40" i="5"/>
  <c r="AL40" i="5"/>
  <c r="BM40" i="5" s="1"/>
  <c r="BK39" i="5"/>
  <c r="BG39" i="5"/>
  <c r="AQ39" i="5"/>
  <c r="AL39" i="5"/>
  <c r="BM39" i="5" s="1"/>
  <c r="BM38" i="5"/>
  <c r="AP38" i="5"/>
  <c r="B38" i="5"/>
  <c r="B39" i="5" s="1"/>
  <c r="B40" i="5" s="1"/>
  <c r="BM37" i="5"/>
  <c r="AP37" i="5"/>
  <c r="BM36" i="5"/>
  <c r="BK36" i="5"/>
  <c r="BL36" i="5" s="1"/>
  <c r="BG36" i="5"/>
  <c r="BM35" i="5"/>
  <c r="BK35" i="5"/>
  <c r="BL35" i="5" s="1"/>
  <c r="BG35" i="5"/>
  <c r="BM34" i="5"/>
  <c r="BJ34" i="5"/>
  <c r="BK34" i="5" s="1"/>
  <c r="BL34" i="5" s="1"/>
  <c r="BI34" i="5"/>
  <c r="BG34" i="5"/>
  <c r="BM33" i="5"/>
  <c r="BK33" i="5"/>
  <c r="BL33" i="5" s="1"/>
  <c r="BG33" i="5"/>
  <c r="BM32" i="5"/>
  <c r="BG32" i="5"/>
  <c r="AZ32" i="5"/>
  <c r="AP32" i="5"/>
  <c r="BM31" i="5"/>
  <c r="BG31" i="5"/>
  <c r="AZ31" i="5"/>
  <c r="AP31" i="5"/>
  <c r="BM30" i="5"/>
  <c r="BG30" i="5"/>
  <c r="AZ30" i="5"/>
  <c r="AP30" i="5"/>
  <c r="B30" i="5"/>
  <c r="B31" i="5" s="1"/>
  <c r="BM29" i="5"/>
  <c r="BG29" i="5"/>
  <c r="AZ29" i="5"/>
  <c r="AP29" i="5"/>
  <c r="BM28" i="5"/>
  <c r="AP28" i="5"/>
  <c r="BM27" i="5"/>
  <c r="AP27" i="5"/>
  <c r="BM26" i="5"/>
  <c r="AP26" i="5"/>
  <c r="BM25" i="5"/>
  <c r="AP25" i="5"/>
  <c r="BM24" i="5"/>
  <c r="AP24" i="5"/>
  <c r="BM23" i="5"/>
  <c r="AP23" i="5"/>
  <c r="BM22" i="5"/>
  <c r="BI22" i="5"/>
  <c r="BH22" i="5"/>
  <c r="BG22" i="5"/>
  <c r="AM22" i="5"/>
  <c r="BJ22" i="5" s="1"/>
  <c r="BK22" i="5" s="1"/>
  <c r="BL22" i="5" s="1"/>
  <c r="BM21" i="5"/>
  <c r="BI21" i="5"/>
  <c r="BH21" i="5"/>
  <c r="BG21" i="5"/>
  <c r="AM21" i="5"/>
  <c r="BJ21" i="5" s="1"/>
  <c r="BK21" i="5" s="1"/>
  <c r="BL21" i="5" s="1"/>
  <c r="BM20" i="5"/>
  <c r="BI20" i="5"/>
  <c r="BH20" i="5"/>
  <c r="BG20" i="5"/>
  <c r="AM20" i="5"/>
  <c r="BJ20" i="5" s="1"/>
  <c r="BK20" i="5" s="1"/>
  <c r="BL20" i="5" s="1"/>
  <c r="BM19" i="5"/>
  <c r="BK19" i="5"/>
  <c r="BL19" i="5" s="1"/>
  <c r="AQ19" i="5"/>
  <c r="AM19" i="5"/>
  <c r="BM18" i="5"/>
  <c r="BK18" i="5"/>
  <c r="BL18" i="5" s="1"/>
  <c r="AQ18" i="5"/>
  <c r="AM18" i="5"/>
  <c r="B18" i="5"/>
  <c r="B19" i="5" s="1"/>
  <c r="BM17" i="5"/>
  <c r="BK17" i="5"/>
  <c r="BL17" i="5" s="1"/>
  <c r="AQ17" i="5"/>
  <c r="AM17" i="5"/>
  <c r="BM16" i="5"/>
  <c r="BI16" i="5"/>
  <c r="AM16" i="5"/>
  <c r="BJ16" i="5" s="1"/>
  <c r="BK16" i="5" s="1"/>
  <c r="BL16" i="5" s="1"/>
  <c r="BM15" i="5"/>
  <c r="BK15" i="5"/>
  <c r="BL15" i="5" s="1"/>
  <c r="AM15" i="5"/>
  <c r="B15" i="5"/>
  <c r="B16" i="5" s="1"/>
  <c r="BM14" i="5"/>
  <c r="BK14" i="5"/>
  <c r="BL14" i="5" s="1"/>
  <c r="AM14" i="5"/>
  <c r="BM13" i="5"/>
  <c r="BI13" i="5"/>
  <c r="AM13" i="5"/>
  <c r="BJ13" i="5" s="1"/>
  <c r="BK13" i="5" s="1"/>
  <c r="BL13" i="5" s="1"/>
  <c r="BM12" i="5"/>
  <c r="AP12" i="5"/>
  <c r="AF12" i="5"/>
  <c r="BM11" i="5"/>
  <c r="AP11" i="5"/>
  <c r="AF11" i="5"/>
  <c r="B11" i="5"/>
  <c r="B12" i="5" s="1"/>
  <c r="BM10" i="5"/>
  <c r="AP10" i="5"/>
  <c r="AF10" i="5"/>
  <c r="BM9" i="5"/>
  <c r="BH9" i="5"/>
  <c r="BG9" i="5"/>
  <c r="AP9" i="5"/>
  <c r="BN9" i="5" s="1"/>
  <c r="BM8" i="5"/>
  <c r="BH8" i="5"/>
  <c r="BG8" i="5"/>
  <c r="AP8" i="5"/>
  <c r="BN8" i="5" s="1"/>
  <c r="BM7" i="5"/>
  <c r="BH7" i="5"/>
  <c r="BG7" i="5"/>
  <c r="AP7" i="5"/>
  <c r="BN7" i="5" s="1"/>
  <c r="BM6" i="5"/>
  <c r="BH6" i="5"/>
  <c r="BG6" i="5"/>
  <c r="AP6" i="5"/>
  <c r="BN6" i="5" s="1"/>
  <c r="BM5" i="5"/>
  <c r="BH5" i="5"/>
  <c r="BG5" i="5"/>
  <c r="AP5" i="5"/>
  <c r="BN5" i="5" s="1"/>
  <c r="BM4" i="5"/>
  <c r="BH4" i="5"/>
  <c r="BG4" i="5"/>
  <c r="AP4" i="5"/>
  <c r="BN4" i="5" s="1"/>
  <c r="BM3" i="5"/>
  <c r="BH3" i="5"/>
  <c r="BG3" i="5"/>
  <c r="AP3" i="5"/>
  <c r="BN3" i="5" s="1"/>
  <c r="BM2" i="5"/>
  <c r="BH2" i="5"/>
  <c r="BG2" i="5"/>
  <c r="AP2" i="5"/>
  <c r="BN2" i="5" s="1"/>
  <c r="B2" i="5"/>
  <c r="B3" i="5" s="1"/>
  <c r="B4" i="5" s="1"/>
  <c r="B5" i="5" s="1"/>
  <c r="B6" i="5" s="1"/>
  <c r="B7" i="5" s="1"/>
  <c r="B8" i="5" s="1"/>
  <c r="B9" i="5" s="1"/>
  <c r="BI41" i="5" l="1"/>
  <c r="BI42" i="5"/>
  <c r="BJ2" i="5"/>
  <c r="BK2" i="5" s="1"/>
  <c r="BL2" i="5" s="1"/>
  <c r="BI2" i="5"/>
  <c r="BJ3" i="5"/>
  <c r="BK3" i="5" s="1"/>
  <c r="BL3" i="5" s="1"/>
  <c r="BI3" i="5"/>
  <c r="BJ4" i="5"/>
  <c r="BK4" i="5" s="1"/>
  <c r="BL4" i="5" s="1"/>
  <c r="BI4" i="5"/>
  <c r="BJ5" i="5"/>
  <c r="BK5" i="5" s="1"/>
  <c r="BL5" i="5" s="1"/>
  <c r="BI5" i="5"/>
  <c r="BJ6" i="5"/>
  <c r="BK6" i="5" s="1"/>
  <c r="BL6" i="5" s="1"/>
  <c r="BI6" i="5"/>
  <c r="BJ7" i="5"/>
  <c r="BK7" i="5" s="1"/>
  <c r="BL7" i="5" s="1"/>
  <c r="BI7" i="5"/>
  <c r="BJ8" i="5"/>
  <c r="BK8" i="5" s="1"/>
  <c r="BL8" i="5" s="1"/>
  <c r="BI8" i="5"/>
  <c r="BJ9" i="5"/>
  <c r="BK9" i="5" s="1"/>
  <c r="BL9" i="5" s="1"/>
  <c r="BI9" i="5"/>
  <c r="BJ10" i="5"/>
  <c r="BK10" i="5" s="1"/>
  <c r="BL10" i="5" s="1"/>
  <c r="BI10" i="5"/>
  <c r="BJ11" i="5"/>
  <c r="BK11" i="5" s="1"/>
  <c r="BL11" i="5" s="1"/>
  <c r="BI11" i="5"/>
  <c r="BJ12" i="5"/>
  <c r="BK12" i="5" s="1"/>
  <c r="BL12" i="5" s="1"/>
  <c r="BI12" i="5"/>
  <c r="BJ23" i="5"/>
  <c r="BK23" i="5" s="1"/>
  <c r="BL23" i="5" s="1"/>
  <c r="BI23" i="5"/>
  <c r="BJ24" i="5"/>
  <c r="BK24" i="5" s="1"/>
  <c r="BL24" i="5" s="1"/>
  <c r="BI24" i="5"/>
  <c r="BJ25" i="5"/>
  <c r="BK25" i="5" s="1"/>
  <c r="BL25" i="5" s="1"/>
  <c r="BI25" i="5"/>
  <c r="BJ26" i="5"/>
  <c r="BK26" i="5" s="1"/>
  <c r="BL26" i="5" s="1"/>
  <c r="BI26" i="5"/>
  <c r="BJ27" i="5"/>
  <c r="BK27" i="5" s="1"/>
  <c r="BL27" i="5" s="1"/>
  <c r="BI27" i="5"/>
  <c r="BJ28" i="5"/>
  <c r="BK28" i="5" s="1"/>
  <c r="BL28" i="5" s="1"/>
  <c r="BI28" i="5"/>
  <c r="BJ29" i="5"/>
  <c r="BK29" i="5" s="1"/>
  <c r="BL29" i="5" s="1"/>
  <c r="BI29" i="5"/>
  <c r="BJ30" i="5"/>
  <c r="BK30" i="5" s="1"/>
  <c r="BL30" i="5" s="1"/>
  <c r="BI30" i="5"/>
  <c r="BJ31" i="5"/>
  <c r="BK31" i="5" s="1"/>
  <c r="BL31" i="5" s="1"/>
  <c r="BI31" i="5"/>
  <c r="BJ32" i="5"/>
  <c r="BK32" i="5" s="1"/>
  <c r="BL32" i="5" s="1"/>
  <c r="BI32" i="5"/>
  <c r="BJ37" i="5"/>
  <c r="BK37" i="5" s="1"/>
  <c r="BL37" i="5" s="1"/>
  <c r="BI37" i="5"/>
  <c r="BJ38" i="5"/>
  <c r="BK38" i="5" s="1"/>
  <c r="BL38" i="5" s="1"/>
  <c r="BI38" i="5"/>
  <c r="BL39" i="5"/>
  <c r="BL40" i="5"/>
  <c r="BL41" i="5"/>
  <c r="BL42" i="5"/>
  <c r="BJ43" i="5"/>
  <c r="BK43" i="5" s="1"/>
  <c r="BL43" i="5" s="1"/>
  <c r="BI43" i="5"/>
  <c r="BJ44" i="5"/>
  <c r="BK44" i="5" s="1"/>
  <c r="BL44" i="5" s="1"/>
  <c r="BI44" i="5"/>
  <c r="BJ45" i="5"/>
  <c r="BK45" i="5" s="1"/>
  <c r="BL45" i="5" s="1"/>
  <c r="BI45" i="5"/>
  <c r="BJ46" i="5"/>
  <c r="BK46" i="5" s="1"/>
  <c r="BL46" i="5" s="1"/>
  <c r="BI46" i="5"/>
  <c r="BJ47" i="5"/>
  <c r="BK47" i="5" s="1"/>
  <c r="BL47" i="5" s="1"/>
  <c r="BI47" i="5"/>
  <c r="BJ48" i="5"/>
  <c r="BK48" i="5" s="1"/>
  <c r="BL48" i="5" s="1"/>
  <c r="BI48" i="5"/>
  <c r="BJ50" i="5"/>
  <c r="BK50" i="5" s="1"/>
  <c r="BL50" i="5" s="1"/>
  <c r="BI50" i="5"/>
  <c r="BJ51" i="5"/>
  <c r="BK51" i="5" s="1"/>
  <c r="BL51" i="5" s="1"/>
  <c r="BI51" i="5"/>
  <c r="BL5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tc={73C2226C-6106-4DC2-88CF-9C0A06F48311}</author>
    <author>tc={CEE78422-255C-40DC-AFED-5AA185CC03E1}</author>
    <author>tc={C7CEED71-5EFE-4791-84D8-7010C40A69F0}</author>
  </authors>
  <commentList>
    <comment ref="AQ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is this supposed to capture mean difference between control and treatment or ?</t>
      </text>
    </comment>
    <comment ref="AZ1"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daily kWh</t>
      </text>
    </comment>
    <comment ref="AQ22"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in kWh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tc={1DD52412-77C6-1E43-B8CC-07AD562D2C6E}</author>
    <author>tc={82F1C3F7-426B-1A49-BF17-3AE9A7F3075E}</author>
    <author>tc={1762D52C-C952-7F43-847B-B050969DF7F7}</author>
    <author>Diana Danilenko</author>
  </authors>
  <commentList>
    <comment ref="AA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check label studies from srmt for label type</t>
      </text>
    </comment>
    <comment ref="BA13" authorId="1" shapeId="0" xr:uid="{00000000-0006-0000-0100-00000B000000}">
      <text>
        <t>[Threaded comment]
Your version of Excel allows you to read this threaded comment; however, any edits to it will get removed if the file is opened in a newer version of Excel. Learn more: https://go.microsoft.com/fwlink/?linkid=870924
Comment:
    Delta = 81 - 63 percent</t>
      </text>
    </comment>
    <comment ref="AW56"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we have confidence intervals but no SE</t>
      </text>
    </comment>
    <comment ref="BG95" authorId="3" shapeId="0" xr:uid="{00000000-0006-0000-0100-000007000000}">
      <text>
        <r>
          <rPr>
            <b/>
            <sz val="9"/>
            <color indexed="81"/>
            <rFont val="Segoe UI"/>
            <charset val="1"/>
          </rPr>
          <t>Diana Danilenko:</t>
        </r>
        <r>
          <rPr>
            <sz val="9"/>
            <color indexed="81"/>
            <rFont val="Segoe UI"/>
            <charset val="1"/>
          </rPr>
          <t xml:space="preserve">
degree of freedom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tc={CF36070F-7893-4948-8AB8-1CADF6EBBFD9}</author>
  </authors>
  <commentList>
    <comment ref="D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 bit confused as of where it’s correlation and where - quasi-experimental
Reply:
    the way i reassessed this was - market statistics - correlation, whereas hypothetical choice - quasi-experimental</t>
      </text>
    </comment>
  </commentList>
</comments>
</file>

<file path=xl/sharedStrings.xml><?xml version="1.0" encoding="utf-8"?>
<sst xmlns="http://schemas.openxmlformats.org/spreadsheetml/2006/main" count="7681" uniqueCount="717">
  <si>
    <t>Coder</t>
  </si>
  <si>
    <t>sr_no</t>
  </si>
  <si>
    <t>study_ID</t>
  </si>
  <si>
    <t>Authors</t>
  </si>
  <si>
    <t>doc_title</t>
  </si>
  <si>
    <t>abstract</t>
  </si>
  <si>
    <t>year_data_study</t>
  </si>
  <si>
    <t>exclusion_reason</t>
  </si>
  <si>
    <t>page</t>
  </si>
  <si>
    <t>statistical_technique</t>
  </si>
  <si>
    <t>study_design</t>
  </si>
  <si>
    <t>study_type</t>
  </si>
  <si>
    <t>feedback</t>
  </si>
  <si>
    <t>rebate</t>
  </si>
  <si>
    <t>information</t>
  </si>
  <si>
    <t>label</t>
  </si>
  <si>
    <t>tax_credit</t>
  </si>
  <si>
    <t>washing_machine</t>
  </si>
  <si>
    <t>diswasher</t>
  </si>
  <si>
    <t>refrigerator</t>
  </si>
  <si>
    <t>heat_pump</t>
  </si>
  <si>
    <t>lighting</t>
  </si>
  <si>
    <t>water_heater</t>
  </si>
  <si>
    <t>air_conditioning</t>
  </si>
  <si>
    <t>tv</t>
  </si>
  <si>
    <t>Notes</t>
  </si>
  <si>
    <t>dep_variable usage</t>
  </si>
  <si>
    <t xml:space="preserve">coefficient </t>
  </si>
  <si>
    <t>effect_direction</t>
  </si>
  <si>
    <t>coefficient_se</t>
  </si>
  <si>
    <t>PercentChange</t>
  </si>
  <si>
    <t>control_mean</t>
  </si>
  <si>
    <t>control_sample_size</t>
  </si>
  <si>
    <t>control_sd</t>
  </si>
  <si>
    <t>treated_mean</t>
  </si>
  <si>
    <t>treatment_sample_size</t>
  </si>
  <si>
    <t>treated_sd</t>
  </si>
  <si>
    <t>total_sample_size</t>
  </si>
  <si>
    <t>total_observations</t>
  </si>
  <si>
    <t>p_value</t>
  </si>
  <si>
    <t>significance_bound</t>
  </si>
  <si>
    <t>test_statistic</t>
  </si>
  <si>
    <t>diff_mean</t>
  </si>
  <si>
    <t>pooled_sd</t>
  </si>
  <si>
    <t>controls Electricity use</t>
  </si>
  <si>
    <t>controls Environmental attitudes</t>
  </si>
  <si>
    <t>controls HH controls (demographics)</t>
  </si>
  <si>
    <t>controls Residence controls</t>
  </si>
  <si>
    <t>controls Seasonal controls</t>
  </si>
  <si>
    <t>controls Weather controls</t>
  </si>
  <si>
    <t>country</t>
  </si>
  <si>
    <t>Baseline Consumption</t>
  </si>
  <si>
    <t>Notes_BaselineConsumption</t>
  </si>
  <si>
    <t>randomisation_dummy</t>
  </si>
  <si>
    <t>Opt_in</t>
  </si>
  <si>
    <t>outOfSampleBias</t>
  </si>
  <si>
    <t>reportingBiases</t>
  </si>
  <si>
    <t>Notes_Biases</t>
  </si>
  <si>
    <t>interventionDuration</t>
  </si>
  <si>
    <t>interventionTreatmentPeriod</t>
  </si>
  <si>
    <t>r_effect_size_sample</t>
  </si>
  <si>
    <t>r_effect_size_obsversation</t>
  </si>
  <si>
    <t>z_value</t>
  </si>
  <si>
    <t>r_variance</t>
  </si>
  <si>
    <t>z_variance</t>
  </si>
  <si>
    <t>d_value</t>
  </si>
  <si>
    <t>Significance in Original study</t>
  </si>
  <si>
    <t>note</t>
  </si>
  <si>
    <t>DD</t>
  </si>
  <si>
    <t>Asensio, Delmas, 2015</t>
  </si>
  <si>
    <t>Nonprice incentives and energy conservation</t>
  </si>
  <si>
    <t>In the electricity sector, energy conservation through technological and behavioral change is estimated to have a savings potential of 123 million metric tons of carbon per year, which represents 20% of US household direct emissions in the United States. In this article, we investigate the effectiveness of nonprice information strategies to motivate conservation behavior. We introduce environment and health-based messaging as a behavioral strategy to reduce energy use in the home and promote energy conserva- tion. In a randomized controlled trial with real-time appliance- level energy metering, we find that environment and health-based information strategies, which communicate the environmental and public health externalities of electricity production, such as pounds of pollutants, childhood asthma, and cancer, outperform monetary savings information to drive behavioral change in the home. Environment and health-based information treatments motivated 8% energy savings versus control and were particularly effective on families with children, who achieved up to 19% energy savings. Our results are based on a panel of 3.4 million hourly appliance-level kilowatt–hour observations for 118 residen- ces over 8 mo. We discuss the relative impacts of both cost-savings information and environmental health messaging strategies with residential consumers.</t>
  </si>
  <si>
    <t>2011-2012</t>
  </si>
  <si>
    <t>NA</t>
  </si>
  <si>
    <t>SI Appendix</t>
  </si>
  <si>
    <t>RCT</t>
  </si>
  <si>
    <t>Control &amp; Treatment</t>
  </si>
  <si>
    <t>info - monetary, reported as heating/cooling</t>
  </si>
  <si>
    <t>electricity consumption</t>
  </si>
  <si>
    <t>?</t>
  </si>
  <si>
    <t>increase</t>
  </si>
  <si>
    <t>US</t>
  </si>
  <si>
    <t>slightly below the national average</t>
  </si>
  <si>
    <t>Probably No</t>
  </si>
  <si>
    <t>significant</t>
  </si>
  <si>
    <t>info - health, reported as heating/cooling</t>
  </si>
  <si>
    <t>decrease</t>
  </si>
  <si>
    <t>not significant</t>
  </si>
  <si>
    <t>info - monetary</t>
  </si>
  <si>
    <t>info - health</t>
  </si>
  <si>
    <t>Brülisauer, Goette, Jiang, Schmitz, Schubert, 2018</t>
  </si>
  <si>
    <t>Appliance specific feedback and social comparisons: Evidence from a field experiment on electricity saving</t>
  </si>
  <si>
    <t>Feedback about individual electricity consumption relative to others in the popu- lation is widely used to steer behavior and reduce electricity consumption. This feedback usually informs households about their aggregate electricity consumption relative to others. While aggregate consumption feedback already translates into significant energy savings, it may leave potential savings untapped because house- holds lack the knowledge where to save most efficiently. In this paper, we provide households with detailed feedback about their consumption of a specific high energy use appliance (air-conditioning) relative to other households. We thereby also exo- genously vary a households’ reference group about which they receive the appliance specific consumption information. We find that our appliance specific feedback is a powerful tool to curb electricity consumption. Households significantly reduce their average air-conditioning consumption by 17% in our treatment groups. Our effects are not driven by comparative feedback to specific reference groups. We interpret this as encouraging evidence to promote the use of appliance specific consumption feedback to realize electricity savings.</t>
  </si>
  <si>
    <t>linear probability model</t>
  </si>
  <si>
    <t>Diff in Diff</t>
  </si>
  <si>
    <t>average peers</t>
  </si>
  <si>
    <t>Singapore</t>
  </si>
  <si>
    <t>identifiable peers</t>
  </si>
  <si>
    <t>unidentifiable peers</t>
  </si>
  <si>
    <t>Delmas, Lessem, 2012</t>
  </si>
  <si>
    <t>SAVING POWER TO CONSERVE YOUR REPUTATION?
THE EFFECTIVENESS OF PRIVATE VERSUS PUBLIC INFORMATION</t>
  </si>
  <si>
    <t xml:space="preserve">
Environmental damage is often an unseen byproduct of other activities. Disclosing environmental impact privately to consumers can reduce the costs and/or increase the moral benefits of conservation behaviors, while publicly disclosing such information can provide an additional motivation for conservation - cultivating a green reputation. In a unique field experiment in the residence halls at the University of California – Los Angeles, we test the efficacy of detailed private and public information on electricity conservation. Private information was given through real-time appliance level feedback and social norms over usage, and public information was given through a publicly visible conservation rating. Our analysis is based on 7,120 daily observations about energy use from heating and cooling, lights and plug load for 66 rooms collected over an academic year. Our results suggest that while private information alone was ineffective, public information combined with private information motivated a 20 percent reduction in electricity consumption achieved through lower use of heating and cooling. Public information was particularly effective for above median energy users.</t>
  </si>
  <si>
    <t>2010-2011</t>
  </si>
  <si>
    <t>private</t>
  </si>
  <si>
    <t>public</t>
  </si>
  <si>
    <t>Becker, Seligman 1978</t>
  </si>
  <si>
    <t>Reducing Air Conditioning Waste by Signalling it is Cool Outside</t>
  </si>
  <si>
    <t>diff of means</t>
  </si>
  <si>
    <t>electricity consumption (daily)</t>
  </si>
  <si>
    <t>Herter, Wood, Blozis, 2013</t>
  </si>
  <si>
    <t xml:space="preserve">
The effects of combining dynamic pricing, AC load control, and real-time energy feedback: SMUD’S 2011 Residential Summer Solutions Study</t>
  </si>
  <si>
    <t>The 2011 Residential Summer Solutions Study compared the hourly load effects of three dif- ferent real-time information treatments and two pro- gram options. The information treatments included: Baseline information (no real-time data), real-time Home information (whole-house data), and real-time Appliance information (data for the whole house plus three individual appliances). Compared to the Baseline group, real-time Home information lowered overall energy use by about 4 %. Real-time information at both the Home and Appliance levels had a significant effect on non-event peak loads: compared to the Baseline group, real-time Home data lowered peak load by 5 %, while Appliance data lowered peak load by 7 %. All three information treatments averaged a 1-kW (40 %) load shed during events. The customer-chosen program options included a dynamic time-of-use rate and a load 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t>
  </si>
  <si>
    <t>pre and post</t>
  </si>
  <si>
    <t>house electricity consumption (overall 24 hours)</t>
  </si>
  <si>
    <t>house electricity consumption (non-event peak load)</t>
  </si>
  <si>
    <t>house electricity consumption (event peak load)</t>
  </si>
  <si>
    <t>Ito, Ida, Tanaka, 2018</t>
  </si>
  <si>
    <t>Moral Suasion and Economic Incentives: Field Experimental Evidence from Energy Demand</t>
  </si>
  <si>
    <t>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t>
  </si>
  <si>
    <t>2012-2013</t>
  </si>
  <si>
    <t>OLS</t>
  </si>
  <si>
    <t>moral</t>
  </si>
  <si>
    <t>energy-efficient use of appliance (dummy)</t>
  </si>
  <si>
    <t>not reported</t>
  </si>
  <si>
    <t>Japan</t>
  </si>
  <si>
    <t>economic</t>
  </si>
  <si>
    <t>Davis, Fuchs, Gertler, 2014</t>
  </si>
  <si>
    <t>Cash for Coolers: Evaluating a Large-Scale Appliance Replacement Program in Mexico</t>
  </si>
  <si>
    <t>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t>
  </si>
  <si>
    <t>2009-2012</t>
  </si>
  <si>
    <t>electricity consumption (monthly)</t>
  </si>
  <si>
    <t>Mexico</t>
  </si>
  <si>
    <t>DECC, 2014</t>
  </si>
  <si>
    <t>Evaluation of the DECC/John Lewis energy labelling trial</t>
  </si>
  <si>
    <t>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t>
  </si>
  <si>
    <t>2013-2014</t>
  </si>
  <si>
    <t>washing machine</t>
  </si>
  <si>
    <t>electricity consumption (yearly)</t>
  </si>
  <si>
    <t>UK</t>
  </si>
  <si>
    <t>Probably Yes</t>
  </si>
  <si>
    <t xml:space="preserve">self-selected sample of stores, training of personnel </t>
  </si>
  <si>
    <t>washer dryer</t>
  </si>
  <si>
    <t>tumble dryer condenser</t>
  </si>
  <si>
    <t>tumble dryer vented</t>
  </si>
  <si>
    <t>Deutsch, 2010</t>
  </si>
  <si>
    <t>Life Cycle Cost Disclosure, Consumer Behavior, and Business Implications</t>
  </si>
  <si>
    <t>Comprehensive assessments of final consumption have iden- tified “housing” as a major contributor to total environmental impacts. Within this category, electrical-energy-using products are important. Do consumers opt for more energy-efficient household appliances if they are provided with life cycle cost (LCC)—that is, the sum of purchase price and operating cost estimated over the life span of the appliance? And what con- sequences does LCC disclosure have for business? Physical energy figures shown on appliance labels may be cognitively demanding for consumers, whereas monetary information promises to simplify the decision problem. Despite the rising interest in monetary cost disclosure, its effectiveness relative to physical cost disclosure has not been rigorously evaluated. This research approached the question of effectiveness with an online field experiment for washing machines. Customers of a commercially operating online shop were randomly assigned to two groups. The control group was provided with regular product price information; the treatment group received addi- tional LCC information. A total of 2,065 clicks were recorded and analyzed with multiple regression that controlled for sev- eral product characteristics. The evidence suggests that LCC disclosure decreases the mean specific energy use of chosen washing machines by 0.8% (p &lt; 0.01) and their mean specific water use by 0.7% (p &lt; 0.05). As to business implications, LCC disclosure had no effect on the indicator of retail vol- ume, which makes it unattractive for retailers to provide LCC on their own initiative.</t>
  </si>
  <si>
    <t>electricity consumption (per cycle)</t>
  </si>
  <si>
    <t>Germany</t>
  </si>
  <si>
    <t>control</t>
  </si>
  <si>
    <t>limited appliance selection on the website, the actual effect size probably higher</t>
  </si>
  <si>
    <t>SR</t>
  </si>
  <si>
    <t>Sammer, Wustenhagen, 2006</t>
  </si>
  <si>
    <t xml:space="preserve">The Influence of Eco-Labelling on Consumer Behaviour – Results of a Discrete Choice Analysis for Washing Machines </t>
  </si>
  <si>
    <t xml:space="preserve">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t>
  </si>
  <si>
    <t>logit</t>
  </si>
  <si>
    <t>Switzerland</t>
  </si>
  <si>
    <t>Study chooses surveyors who are already at supermarket and only 6 supermarkets most of which are in suburban areas</t>
  </si>
  <si>
    <t>Stadelmann, Schubert, 2018</t>
  </si>
  <si>
    <r>
      <t>How Do Di</t>
    </r>
    <r>
      <rPr>
        <sz val="13"/>
        <color theme="1"/>
        <rFont val="AdvOT596495f2+fb"/>
      </rPr>
      <t>ff</t>
    </r>
    <r>
      <rPr>
        <sz val="13"/>
        <color theme="1"/>
        <rFont val="AdvOT596495f2"/>
      </rPr>
      <t>erent Designs of Energy Labels In</t>
    </r>
    <r>
      <rPr>
        <sz val="13"/>
        <color theme="1"/>
        <rFont val="AdvOT596495f2+fb"/>
      </rPr>
      <t>fl</t>
    </r>
    <r>
      <rPr>
        <sz val="13"/>
        <color theme="1"/>
        <rFont val="AdvOT596495f2"/>
      </rPr>
      <t xml:space="preserve">uence Purchases of Household Appliances? A Field Study in Switzerland </t>
    </r>
  </si>
  <si>
    <r>
      <t>Energy labels are a key element of energy e</t>
    </r>
    <r>
      <rPr>
        <sz val="7"/>
        <color theme="1"/>
        <rFont val="AdvOT596495f2+fb"/>
      </rPr>
      <t>ffi</t>
    </r>
    <r>
      <rPr>
        <sz val="7"/>
        <color theme="1"/>
        <rFont val="AdvOT596495f2"/>
      </rPr>
      <t xml:space="preserve">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t>
    </r>
    <r>
      <rPr>
        <sz val="7"/>
        <color theme="1"/>
        <rFont val="AdvOT596495f2+fb"/>
      </rPr>
      <t>fi</t>
    </r>
    <r>
      <rPr>
        <sz val="7"/>
        <color theme="1"/>
        <rFont val="AdvOT596495f2"/>
      </rPr>
      <t xml:space="preserve">eld. We analyze private purchases of household appliances, especially freezers, vacuum cleaners and tumble dryers. We </t>
    </r>
    <r>
      <rPr>
        <sz val="7"/>
        <color theme="1"/>
        <rFont val="AdvOT596495f2+fb"/>
      </rPr>
      <t>fi</t>
    </r>
    <r>
      <rPr>
        <sz val="7"/>
        <color theme="1"/>
        <rFont val="AdvOT596495f2"/>
      </rPr>
      <t>nd that the display of any of the two energy labels increases the sales proportion of energy-e</t>
    </r>
    <r>
      <rPr>
        <sz val="7"/>
        <color theme="1"/>
        <rFont val="AdvOT596495f2+fb"/>
      </rPr>
      <t>ffi</t>
    </r>
    <r>
      <rPr>
        <sz val="7"/>
        <color theme="1"/>
        <rFont val="AdvOT596495f2"/>
      </rPr>
      <t>cient appliances compared to the absence of any energy label. At the same time, we observe a volume-e</t>
    </r>
    <r>
      <rPr>
        <sz val="7"/>
        <color theme="1"/>
        <rFont val="AdvOT596495f2+fb"/>
      </rPr>
      <t>ff</t>
    </r>
    <r>
      <rPr>
        <sz val="7"/>
        <color theme="1"/>
        <rFont val="AdvOT596495f2"/>
      </rPr>
      <t>ect for freezers: The average size of purchased freezers is larger when any of the two energy labels is displayed compared to the absence of any energy label. The in</t>
    </r>
    <r>
      <rPr>
        <sz val="7"/>
        <color theme="1"/>
        <rFont val="AdvOT596495f2+fb"/>
      </rPr>
      <t>fl</t>
    </r>
    <r>
      <rPr>
        <sz val="7"/>
        <color theme="1"/>
        <rFont val="AdvOT596495f2"/>
      </rPr>
      <t>uence of the two di</t>
    </r>
    <r>
      <rPr>
        <sz val="7"/>
        <color theme="1"/>
        <rFont val="AdvOT596495f2+fb"/>
      </rPr>
      <t>ff</t>
    </r>
    <r>
      <rPr>
        <sz val="7"/>
        <color theme="1"/>
        <rFont val="AdvOT596495f2"/>
      </rPr>
      <t>erent energy labels is similar except for vacuum cleaners, for which monetary information might have an adverse e</t>
    </r>
    <r>
      <rPr>
        <sz val="7"/>
        <color theme="1"/>
        <rFont val="AdvOT596495f2+fb"/>
      </rPr>
      <t>ff</t>
    </r>
    <r>
      <rPr>
        <sz val="7"/>
        <color theme="1"/>
        <rFont val="AdvOT596495f2"/>
      </rPr>
      <t xml:space="preserve">ect. </t>
    </r>
  </si>
  <si>
    <t>freezer</t>
  </si>
  <si>
    <t>mean expected annual electricity consumption</t>
  </si>
  <si>
    <t>country specific?</t>
  </si>
  <si>
    <t>dryer</t>
  </si>
  <si>
    <t>Houde, Aldy, 2017</t>
  </si>
  <si>
    <t>Consumers' Response to State Energy Efficient Appliance Rebate Programs.</t>
  </si>
  <si>
    <r>
      <t xml:space="preserve">Through an evaluation of the 2009 Recovery Act's State Energy </t>
    </r>
    <r>
      <rPr>
        <sz val="12"/>
        <color theme="1"/>
        <rFont val="Code2000"/>
      </rPr>
      <t xml:space="preserve">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t>
    </r>
  </si>
  <si>
    <t xml:space="preserve">log of kWh </t>
  </si>
  <si>
    <t>Kallbekken, Saelen, Hermansen, 2013</t>
  </si>
  <si>
    <t xml:space="preserve">Bridging the Energy Efficiency Gap: A Field Experiment on Lifetime Energy Costs and Household Appliances </t>
  </si>
  <si>
    <r>
      <t xml:space="preserve">Abstract </t>
    </r>
    <r>
      <rPr>
        <sz val="9"/>
        <color rgb="FF111111"/>
        <rFont val="AdvTT3713a231"/>
      </rPr>
      <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t>
    </r>
  </si>
  <si>
    <t>synthetic control method</t>
  </si>
  <si>
    <t>average energy use</t>
  </si>
  <si>
    <t>Norway</t>
  </si>
  <si>
    <t>Alberini, Gans, Towe, 2016</t>
  </si>
  <si>
    <t>Free Riding, Upsizing, and Energy Efficiency Incentives in Maryland Homes</t>
  </si>
  <si>
    <t>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t>
  </si>
  <si>
    <t>energy consumption</t>
  </si>
  <si>
    <t>per billing period (i.e. monthly)</t>
  </si>
  <si>
    <t>Our sampling frame is a mix of stratified and choice-based sampling (see table 1), which means that it is necessary to calculate and use appropriate weights when extrapolating sample statistics to the population.</t>
  </si>
  <si>
    <t>coder</t>
  </si>
  <si>
    <t>study_ID_purchaseprobability</t>
  </si>
  <si>
    <t>authors</t>
  </si>
  <si>
    <t>year_publication</t>
  </si>
  <si>
    <t>incentive_follow_through</t>
  </si>
  <si>
    <t>experimental_setting</t>
  </si>
  <si>
    <t>participant_type</t>
  </si>
  <si>
    <t>aware_of_study</t>
  </si>
  <si>
    <t>opt_in</t>
  </si>
  <si>
    <t>notes_bias</t>
  </si>
  <si>
    <t>subsidy</t>
  </si>
  <si>
    <t>loan</t>
  </si>
  <si>
    <t>choice_architecture</t>
  </si>
  <si>
    <t>notes_intervention</t>
  </si>
  <si>
    <t>clothes_dryer</t>
  </si>
  <si>
    <t>ac</t>
  </si>
  <si>
    <t>notes_dep_var</t>
  </si>
  <si>
    <t>dep_variable_purchase_category</t>
  </si>
  <si>
    <t>dep_var_original_study</t>
  </si>
  <si>
    <t>dep_var_transformation</t>
  </si>
  <si>
    <t>t_stat</t>
  </si>
  <si>
    <t>percent_change</t>
  </si>
  <si>
    <t>percent_change(binary predictor)</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</si>
  <si>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</si>
  <si>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</si>
  <si>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</si>
  <si>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</si>
  <si>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</si>
  <si>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</si>
  <si>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</si>
  <si>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</si>
  <si>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</si>
  <si>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</si>
  <si>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</si>
  <si>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df</t>
  </si>
  <si>
    <t>all</t>
  </si>
  <si>
    <t>Allcott, Sweeney</t>
  </si>
  <si>
    <t>The Role of Sales Agents in Information Disclosure:
Evidence from a Field Experiment</t>
  </si>
  <si>
    <t>With a large nationwide retailer, we run a natural field experiment to measure the effects of energy use
information disclosure, customer rebates, and sales agent incentives on demand for energy-efficient durable
goods. Although a combination of large rebates plus sales incentives substantially increases market share,
information and sales incentives alone each have zero statistical effect and explain at most a small fraction of
the low baseline market share. Sales agents strategically comply only partially with the experiment, targeting
information to more interested consumers but not discussing energy efficiency with the disinterested majority.
These results suggest that seller-provided information is not a major barrier to energy-efficiency investments at
current prices in this context.</t>
  </si>
  <si>
    <t>ITT</t>
  </si>
  <si>
    <t>revealed preference</t>
  </si>
  <si>
    <t>sales agent</t>
  </si>
  <si>
    <t>caller</t>
  </si>
  <si>
    <t>no such option</t>
  </si>
  <si>
    <t>probably no</t>
  </si>
  <si>
    <t>focus on phase 1 as there the effect is separated from agent incentivisation</t>
  </si>
  <si>
    <t>purschase (probability) of efficient appliance</t>
  </si>
  <si>
    <t>whether the consumer purchases an Energy Star model</t>
  </si>
  <si>
    <t>dummy (0/1)</t>
  </si>
  <si>
    <t>Alberini, Bigano, Boeri</t>
  </si>
  <si>
    <t>Looking for free riding: energy efficiency incentives and Italian homeowners </t>
  </si>
  <si>
    <t>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t>
  </si>
  <si>
    <t>2004-2009</t>
  </si>
  <si>
    <t>Italy</t>
  </si>
  <si>
    <t>self-reported behaviour</t>
  </si>
  <si>
    <t>household</t>
  </si>
  <si>
    <t>homeowners</t>
  </si>
  <si>
    <t>likelihood of replacing the heating system</t>
  </si>
  <si>
    <t>delayed</t>
  </si>
  <si>
    <t xml:space="preserve">current </t>
  </si>
  <si>
    <t>Datta, Filippini</t>
  </si>
  <si>
    <t>pre-recorded (no experiment)</t>
  </si>
  <si>
    <t>residents</t>
  </si>
  <si>
    <t>market share of efficient appliance</t>
  </si>
  <si>
    <t>2SLS</t>
  </si>
  <si>
    <t>IV</t>
  </si>
  <si>
    <t>Figueroa, Molière, Pegels, Never, Kutzner</t>
  </si>
  <si>
    <t>Show me (more than) the money! Assessing the social and psychological
dimensions to energy efficient lighting in Kenya</t>
  </si>
  <si>
    <t>Despite economic, social and environmental benefits, the uptake of energy-saving compact fluorescent lamp
light bulbs (CFLs) in Kibera, an informal settlement in Nairobi, remains low. We conducted a randomized
controlled field experiment involving 651 Kibera residents assessing whether the joint impact of monetary incentives
and behavioral interventions (pre-commitment and simplified information highlighting CFL benefits)
could increase CFL uptake. A monetary incentive covering the incremental cost of a CFL compared to an incandescent
bulb positively impacted uptake. However, adding simplified information more than tripled the
impact of the monetary incentive alone, resulting in a remarkable uptake rate of about 84%. While a post endline
survey conducted two years following the administration of the randomized control trial does not find lasting
effects, this paper provides evidence for additional behavioral hypotheses in developing countries, also assessing
the contribution of intelligence and measured discount rates to account for potential household present bias. It is
to date the only intervention of its type that explores the extent to which behavioral interventions can complement
monetary incentives.</t>
  </si>
  <si>
    <t>2014-2016</t>
  </si>
  <si>
    <t>Kenya</t>
  </si>
  <si>
    <t>probably yes</t>
  </si>
  <si>
    <t>informal settlement in Kibera (poor population)</t>
  </si>
  <si>
    <t>CFL uptake</t>
  </si>
  <si>
    <t>Allcott, Taubinsky</t>
  </si>
  <si>
    <t>Evaluating Behaviorally Motivated Policy: Experimental Evidence from the Lightbulb Market</t>
  </si>
  <si>
    <r>
      <t>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t>
    </r>
    <r>
      <rPr>
        <sz val="12"/>
        <rFont val="TimesLTStd"/>
      </rPr>
      <t xml:space="preserve">, </t>
    </r>
    <r>
      <rPr>
        <i/>
        <sz val="12"/>
        <rFont val="TimesLTStd"/>
      </rPr>
      <t>which we estimate using a novel within-subject information disclosure experiment. The main results suggest that moderate subsidies for energy-efficient lightbulbs may increase welfare</t>
    </r>
    <r>
      <rPr>
        <sz val="12"/>
        <rFont val="TimesLTStd"/>
      </rPr>
      <t xml:space="preserve">, </t>
    </r>
    <r>
      <rPr>
        <i/>
        <sz val="12"/>
        <rFont val="TimesLTStd"/>
      </rPr>
      <t xml:space="preserve">but informational and attentional biases alone do not justify a ban on incandescent lightbulbs. Our results and techniques generate broader methodological insights into welfare analysis with misoptimizing consumers. </t>
    </r>
  </si>
  <si>
    <t>NA (TESS)</t>
  </si>
  <si>
    <t>control &amp; treatment</t>
  </si>
  <si>
    <t>online</t>
  </si>
  <si>
    <t>purchased CFL</t>
  </si>
  <si>
    <t>SH</t>
  </si>
  <si>
    <t>Neves, Oliveira</t>
  </si>
  <si>
    <t>Drivers of consumers’ change to an energy-efficient heating appliance (EEHA) in households: Evidence from five European countries</t>
  </si>
  <si>
    <t>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t>
  </si>
  <si>
    <t>2019-2020</t>
  </si>
  <si>
    <t>structural model</t>
  </si>
  <si>
    <t>quasi-experimental</t>
  </si>
  <si>
    <t>stated preference</t>
  </si>
  <si>
    <t>individuals</t>
  </si>
  <si>
    <t>Behavior intention to change to Energy efficient household appliance</t>
  </si>
  <si>
    <t>attitude on heating equipment use - behavior change</t>
  </si>
  <si>
    <t>log scale</t>
  </si>
  <si>
    <t>Spain</t>
  </si>
  <si>
    <t>retailer</t>
  </si>
  <si>
    <t>store visitors</t>
  </si>
  <si>
    <t>WTP for efficient appliance</t>
  </si>
  <si>
    <t>alphabetical with +</t>
  </si>
  <si>
    <t>Gana, Hoppe</t>
  </si>
  <si>
    <t>uncertainty / sample size missing</t>
  </si>
  <si>
    <t>Nigeria</t>
  </si>
  <si>
    <t>attitude on heating equipment use</t>
  </si>
  <si>
    <t>Revelt, Train</t>
  </si>
  <si>
    <t>MIXED LOGIT WITH REPEATED CHOICES: HOUSEHOLDS’ CHOICES
OF APPLIANCE EFFICIENCY LEVEL</t>
  </si>
  <si>
    <t>Mixed logit models, also called random-parameters or errorcomponents
logit, are a generalization of standard logit that do not exhibit
the restrictive ‘‘independence from irrelevant alternatives’’ property and
explicitly account for correlations in unobserved utility over repeated
choices by each customer. Mixed logits are estimated for households’
choices of appliances under utility-sponsored programs that offer rebates
or loans on high-efficiency appliances.</t>
  </si>
  <si>
    <t>confusing between WTP and probability to purchase</t>
  </si>
  <si>
    <t>choice of a high-efficiency appliance</t>
  </si>
  <si>
    <t>Goto H, Goto M, Sueyoshi</t>
  </si>
  <si>
    <t>Consumer choice on ecologically efficient water heaters: Marketing strategy and policy implications in Japan</t>
  </si>
  <si>
    <t>This study examines how consumers select ecologically efficient water heaters in Japan. Energy conservation
in household water heating is increasingly important for reducing an amount of CO2 emission, because the
share of water heating in household energy consumption is approximately 30%. Recently, Japanese
households have widely used ecologically efficient electric heat pump water heaters (Eco Cute) or gasfired
water heaters (Eco Jozu). The total number of such efficient water heaters sold in Japan was more than
2.5 million at the end of 2008. This study investigates various factors and impacts of marketing strategy for
promoting the appliances in Japan. We apply mixed and nested logit models to a disaggregated choice data on
water heaters from 2004 to 2008. This study considers retail energy prices, a government financial support
and marketing activities as important factors for appliance selection. In addition, we consider consumers'
housing attributes such as floor space and age of building. This empirical study finds two business
implications. One of the two implications is that an increase in an energy price may enhance a choice
probability of Eco Cute and Eco Jozu because a price increase invites consumer's consciousness on energy
conservation so that a cost reduction on energy consumption becomes essential in a use of the efficient
appliances. The other implication is that marketing activities, especially by recommendations from sales
representatives and/or housing suppliers, are important for consumer behaviors. The other important
findings are discussed in this study. This business experience in Japan is useful to the other countries where
ecologically efficient water heaters are not popular at the current moment.</t>
  </si>
  <si>
    <t>nested logit</t>
  </si>
  <si>
    <t>correlation</t>
  </si>
  <si>
    <t>cognition of subsidy (0=not know 1=know)</t>
  </si>
  <si>
    <t>eco jozu</t>
  </si>
  <si>
    <t>a selection probability of a specific type of water
heater, compared to the conventional gas/oil water heater (as a base
category)</t>
  </si>
  <si>
    <t>from 0,05 to 0,1</t>
  </si>
  <si>
    <t>Aydin, Kok, Brounen</t>
  </si>
  <si>
    <t>Energy efficiency and household behavior: the rebound effect in the residential sector</t>
  </si>
  <si>
    <t>dep_var</t>
  </si>
  <si>
    <t>Berman, Cooper, Geller</t>
  </si>
  <si>
    <t>COMPENDIUM OF UTILITY-SPONSORED ENERGY EFFICIENCY REBATE PROGRAMS.</t>
  </si>
  <si>
    <t>review</t>
  </si>
  <si>
    <t>Dong, Futawatari</t>
  </si>
  <si>
    <t>The study of low-carbon policy influence on consumers' energy efficiency household appliance purchase behavior</t>
  </si>
  <si>
    <t>quality</t>
  </si>
  <si>
    <t>ANOVA</t>
  </si>
  <si>
    <t>China</t>
  </si>
  <si>
    <t>mixed logit</t>
  </si>
  <si>
    <t>Kallbekken, Saelen, Hermansen</t>
  </si>
  <si>
    <t>Bridging the Energy Efficiency Gap: A Field Experiment on Lifetime Energy Costs and Household Appliances</t>
  </si>
  <si>
    <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t>
  </si>
  <si>
    <t>additional label - compared to the EU A+++ label scale</t>
  </si>
  <si>
    <t>average energy use of the appliance sold</t>
  </si>
  <si>
    <t>del Mar Sola, de Ayala, Galarraga</t>
  </si>
  <si>
    <t>The Effect of Providing Monetary Information on Energy Savings for Household Appliances: A Field Trial in Spain</t>
  </si>
  <si>
    <r>
      <t>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t>
    </r>
    <r>
      <rPr>
        <sz val="12"/>
        <color rgb="FF111111"/>
        <rFont val="AdvTT3713a231"/>
      </rPr>
      <t xml:space="preserve">+++ fridges. Surprisingly, no effect is found for dishwashers. </t>
    </r>
  </si>
  <si>
    <t>additional information - on the label</t>
  </si>
  <si>
    <t>the marginal effects of the explanatory variables for all the appliances on the
probability of purchasers acquiring an appliance labelled with high energy efficiency</t>
  </si>
  <si>
    <t>probability of appliance purchase</t>
  </si>
  <si>
    <t>London Economics</t>
  </si>
  <si>
    <t>Study on the impact of the energy label – and potential changes to it – on consumer understanding and on purchase decisions</t>
  </si>
  <si>
    <t>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t>
  </si>
  <si>
    <t xml:space="preserve">France, Slovenia, Szech Republic, Portugal </t>
  </si>
  <si>
    <t>opt_out</t>
  </si>
  <si>
    <t>baseline is the existing EU labelling programme</t>
  </si>
  <si>
    <t>other</t>
  </si>
  <si>
    <t>LT</t>
  </si>
  <si>
    <t>Dieu-Hang, Grafton, Matrinez-Espineira, Garcia-Valinas</t>
  </si>
  <si>
    <t>Household adoption of energy and water-efficient appliances: An analysis of attitudes, labelling and complementary green behaviours in selected OECD countries</t>
  </si>
  <si>
    <t>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t>
  </si>
  <si>
    <t>probit</t>
  </si>
  <si>
    <t>Australia, Canada, Chile, France, Israel, Korea, Japan, Netherlands, Spain, Sweden, Switzerland</t>
  </si>
  <si>
    <t>unclear N sample size for this specification</t>
  </si>
  <si>
    <t>"Recognize" Energy Label</t>
  </si>
  <si>
    <t>investing in energy-efficient appliances; coefficients are marginal effects</t>
  </si>
  <si>
    <t>investing in energy-efficient appliances</t>
  </si>
  <si>
    <t>conventional electric</t>
  </si>
  <si>
    <t>France, Germany, Italy, Portugal, Spain</t>
  </si>
  <si>
    <t>Portugal</t>
  </si>
  <si>
    <t>Liddle, Loi, Owen, Tao</t>
  </si>
  <si>
    <t>Evaluating consumption and cost savings from new air-conditioner purchases: The case of Singapore</t>
  </si>
  <si>
    <t>OLS - FE</t>
  </si>
  <si>
    <t>energy use after switching to a more efficient appliance</t>
  </si>
  <si>
    <t>OLS - RE</t>
  </si>
  <si>
    <t>coarsened exact matching</t>
  </si>
  <si>
    <t>"Trust" Energy Label</t>
  </si>
  <si>
    <t>Nakano, Zusman, Nugroho, Kaswanto, Arifin N, Munandar, Arifin HS, Muchtar, Gomi, Fujita</t>
  </si>
  <si>
    <t>Determinants of Energy Savings in Indonesia: the case of LED lighting in Bogor</t>
  </si>
  <si>
    <t>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t>
  </si>
  <si>
    <t>stated preferences; there is no real intervention. They measure the effect of knowledge about policies and labels on the willingness to adopt efficient lighting</t>
  </si>
  <si>
    <t>ordinal logit</t>
  </si>
  <si>
    <t>choice experiment</t>
  </si>
  <si>
    <t>Indonesia</t>
  </si>
  <si>
    <t>just study one city of Indonesia (Bogor), but they are convincing that the sample is quite representative regarding the population in the city; As it is stated preference, hypothetical bias may be an issue</t>
  </si>
  <si>
    <t>there is no real intervention. They measure the effect of knowledge about policies and labels on the willingness to adopt efficient lighting</t>
  </si>
  <si>
    <t>whether the respondent is willing to change from conventional lightning to LED; the coding of the dependent variable is not clear though</t>
  </si>
  <si>
    <t>coefficient form ordered logit model</t>
  </si>
  <si>
    <t>No energy but water efficiency? (see notes_dep_var)</t>
  </si>
  <si>
    <t>Water tank to collect rain water</t>
  </si>
  <si>
    <t>France</t>
  </si>
  <si>
    <t>Mahlia, Masjuki, Choudhury, Ghazali</t>
  </si>
  <si>
    <t>Economical and environmental impact of room air conditioners energy labels in Malaysia</t>
  </si>
  <si>
    <t>simulation</t>
  </si>
  <si>
    <t>Malaysia</t>
  </si>
  <si>
    <t>Liu, Jin</t>
  </si>
  <si>
    <t>Visualisation Approach and Economic Incentives toward Low Carbon Practices in
Households: A Survey Study in Hyogo, Japan</t>
  </si>
  <si>
    <t>Considering the great significance of residential sector for deep decarbonisation in
the medium and long term, this study analyses the effectiveness of an emissions visualisation
approach and economic incentives in promoting household low-carbon practices. The data was
gathered by a questionnaire survey from 406 households in Hyogo Prefecture, Japan, which
received eco-home diagnosis in the past three years. The result confirms that around 40% of the
samples installed home energy management system (HEMS) as the visualisation tool, and many
households received low-carbon subsidies; however, few of them have utilised the low-interest
loan from the government of Hyogo. Household lifestyle efforts are less associated with the policy
measures and some differ due to family characteristics, i.e., the age of head of the household.
Replacing household equipment with low-carbon items is largely determined by the visualisation
approach and availability of economic incentives. As an example, the installation of HEMS would
increase the probability of replacement with an electric heat pump water heater by 25.6% and the
introduction of solar PV system by 55.9%. This study assists in understanding household lowcarbon
practices and their relationship with the related policy measures.</t>
  </si>
  <si>
    <t>ordered probit</t>
  </si>
  <si>
    <t>aggregated already implemented and planned installations together?</t>
  </si>
  <si>
    <t>adoption of renewable and energy saving appliances</t>
  </si>
  <si>
    <t>Webber, Brown, Koomey</t>
  </si>
  <si>
    <t>Savings estimates for the ENERGY STAR (R) voluntary labeling program</t>
  </si>
  <si>
    <t>Hirst, Carney, O'Neal</t>
  </si>
  <si>
    <t>Alternative technologies for US residential water heating. Energy savings and economic benefits</t>
  </si>
  <si>
    <t>Davis, Metcalf</t>
  </si>
  <si>
    <t>DOES BETTER INFORMATION LEAD TO BETTER CHOICES? EVIDENCE FROM
ENERGY-EFFICIENCY LABELS</t>
  </si>
  <si>
    <t>numerical</t>
  </si>
  <si>
    <t>Wasi, Carson</t>
  </si>
  <si>
    <t>The influence of rebate programs on the demand for water heaters: The case of New South Wales</t>
  </si>
  <si>
    <t>This paper examines the role of Australian hotwater systemrebate programs in shifting the existing stock of electric
water heaters toward more climate friendly versions using two unique data sets from New South Wales
homeowners. The first data set is based on a survey of householdswho recently purchased awater heater before
and after the rebate programs were in place. The other is based on a set of stated preference questions asked of
households soon to face a replacement decision.While the former allows us to look at recent responses, the latter
enables us to forecast future demand.We find that the programs significantly increase shares of solar/heat pump
systems. The programs, however, appear less effective in reducing the stock of electric heaters for households
with access to natural gas. This pattern is consistent in both datasets. Results from the discrete choice
experiments suggest considerable heterogeneity with respect to household preferences toward different types
of water heaters and the discount rates they hold. The effective cost of reducing carbon emissions via incentives
for water heater replacement is considered from the counterfactual perspective of no government incentives.</t>
  </si>
  <si>
    <t>diff-in-diff</t>
  </si>
  <si>
    <t>Australia</t>
  </si>
  <si>
    <t>sample with gas access</t>
  </si>
  <si>
    <t>probability of switching from electric to solar/heat pump</t>
  </si>
  <si>
    <t>from 0,15 to 0,29</t>
  </si>
  <si>
    <t>Water flow restrictor taps/low flow shower head</t>
  </si>
  <si>
    <t>alphabetical</t>
  </si>
  <si>
    <t>Deutsch</t>
  </si>
  <si>
    <t>The effect of life-cycle cost disclosure on consumer behavior: evidence from a field experiment with cooling appliances</t>
  </si>
  <si>
    <t>Theory suggests that providing consumers
with an estimated life-cycle cost (LCC) may make
them buy more energy-efficient household appliances
in cases where energy efficiency is cost effective. This
article evaluates the link between the provision of
LCC and consumer behavior by using an online field
experiment for cooling appliances. Internet users
arriving at a commercially operating price comparison
website were randomly assigned to two experimental
groups, and the groups were exposed to different
visual stimuli. The control group received regular
product price information, whereas the treatment
group was offered additional information about
estimated operating cost and total LCC. Consumers’
click behavior was evaluated with multiple regression
controlling for several product characteristics (n=
1,969 clicks). We find that LCC disclosure reduces
the mean specific energy use of chosen cooling
appliances by 2.5% (p&lt;0.01), making it a potentially
interesting approach for environmental policy regarding
the market transformation toward more energy-efficient
household appliances. However, LCC disclosure also
decreases the number of clicks from the price comparison
website to final retailers by about 23% (p&lt;0.01),
which makes it—in the format chosen here—undesirable
from a business perspective. Therefore, future research
should clarify under what (if any) conditions can
monetary energy cost disclosure be associated with
more positive effects for price comparison websites.</t>
  </si>
  <si>
    <t>negative binomial regression</t>
  </si>
  <si>
    <t>LCC information disclosed to the treatment group</t>
  </si>
  <si>
    <t>click-throughs (not even stated preference purchase strictly)</t>
  </si>
  <si>
    <t>Effect of life-cycle
cost disclosure on the
overall number of
click-throughs</t>
  </si>
  <si>
    <t>Low volume or dual flush toilets</t>
  </si>
  <si>
    <t xml:space="preserve">probably no </t>
  </si>
  <si>
    <t>Andor, Gerster, Goette</t>
  </si>
  <si>
    <t>How effective is the European Union energy label? Evidence from a real-stakes experiment</t>
  </si>
  <si>
    <t>Datta, Gulati</t>
  </si>
  <si>
    <t>Utility rebates for ENERGY STAR appliances: Are they effective?</t>
  </si>
  <si>
    <t>Houde, Aldy</t>
  </si>
  <si>
    <t>Belt and suspenders and more: the incremental impact of energy efficiency subsidies in the presence of existing policy instruments</t>
  </si>
  <si>
    <t>Ward, Clark, Jensen, Yen, Russell</t>
  </si>
  <si>
    <t>Factors influencing willingness-to-pay for the ENERGY STAR (R) label</t>
  </si>
  <si>
    <t>Sammer, Wuestenhagen</t>
  </si>
  <si>
    <t>The influence of eco-labelling on consumer behaviour – results of a discrete choice analysis for washing machines</t>
  </si>
  <si>
    <t>importance of the label in choice of energy efficient appliance - energy efficiency rating B</t>
  </si>
  <si>
    <t>probability of choice of energy efficient appliance</t>
  </si>
  <si>
    <t>probability of switching from electric to gas</t>
  </si>
  <si>
    <t>from 0,12 to 0,2</t>
  </si>
  <si>
    <t>Jeong, Kim</t>
  </si>
  <si>
    <t>The effects of energy efficiency and environmental labels on appliance choice in South Korea</t>
  </si>
  <si>
    <t>This paper investigates the effects of energy
efficiency and environmental labels on households’
choice of appliances, using a discrete choice experiment
approach. Labeling programs currently operated by the
South Korean government are considered in the empirical
study, and the effects of such labels on appliance
choice. This paper found that households showed a
positive preference for labeled appliances, and an intention
to pay more to purchase appliances with energy
efficiency, and/or other environmental labels, with more
value placed on energy efficiency labels than other
environmental labels. The results of this study offer
implications for both the government and manufacturers.
For promotion of “green” appliances, it is recommended
that the South Korean government expand the
list of items mandatorily included in its labeling programs.
For manufacturers, it is worth noting that consumers
properly identify the information regarding energy
efficiency, and environmental friendliness with
reasonable monetary value. Thus, appliance manufacturers
would be wise to concentrate on improving
energy efficiency grades, and acquiring environmental
labels.</t>
  </si>
  <si>
    <t>South Korea</t>
  </si>
  <si>
    <t>effect of energy efficiency in itself rather than label (the Energy Efficiency Grade Label)</t>
  </si>
  <si>
    <t>estimation results for refrigerator choice (highest efficiency grade)</t>
  </si>
  <si>
    <t>multinomial logit</t>
  </si>
  <si>
    <t>Zha, Yang, Wang, Zhou</t>
  </si>
  <si>
    <t>Appliance energy labels and consumer heterogeneity: A latent class approach based on a discrete choice experiment in China</t>
  </si>
  <si>
    <t>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t>
  </si>
  <si>
    <t>effect of energy efficiency in itself rather than label (China Energy Label program)</t>
  </si>
  <si>
    <t>probability of a consumer choosing an energy-efficient appliance</t>
  </si>
  <si>
    <t>Carroll, Denny, Lyons</t>
  </si>
  <si>
    <t>The Effects of Energy Cost Labelling on Appliance Purchasing Decisions: Trial Results from Ireland</t>
  </si>
  <si>
    <t>negative binomial count model</t>
  </si>
  <si>
    <t>Ireland</t>
  </si>
  <si>
    <t>TK</t>
  </si>
  <si>
    <t>Li, Cao</t>
  </si>
  <si>
    <t>Effectiveness of China's Labeling and Incentive Programs for Household Energy Conservation and Policy Implications</t>
  </si>
  <si>
    <t>With incomplete information about the potential benefits and costs of energy-using
durables, households may be unwilling to invest in products that are more energy-efficient but
also more expensive in purchase decisions. To deal with this problem, labeling policy has been developed
to guide customers’ energy consumption decisions by providing understandable information to
evaluate the energy efficiency of products. Over the last 20 years, China has implemented a series of
mandatory and voluntary energy labeling and incentive policies to reduce energy use and improve
the energy efficiency of durable goods in dwellings. This study has employed empirical survey
data from the Chinese General Social Survey to study the implementation effectiveness of these
policies and explore demographic factors behind consumer investments in energy-saving durables by
using the logistic regression model. Statistical results show that energy efficiency labeling, incentive
programs, education levels, and regional differences of customers appear to be strong predictors for
investing in energy-efficient air conditioners and washing machines. House size is a decisive factor
in driving consumers to choose energy-saving air conditioners. In light of the above results, the
study suggests improved policy for motivating consumers to purchase energy-efficient appliances
in dwellings.</t>
  </si>
  <si>
    <t xml:space="preserve">household panel,  no causation, considers year of labeling law same as purchase of a labeled appliance, survey sample not representative of the general population </t>
  </si>
  <si>
    <t>y represents the possession of energy-efficient</t>
  </si>
  <si>
    <t>sample without gas access</t>
  </si>
  <si>
    <t>Ito, Ida, Tanaka</t>
  </si>
  <si>
    <t>Skourtos, Damigos, Tourkolias, Kontogianni</t>
  </si>
  <si>
    <t>Efficient energy labelling: the impact of information content and style on product choice</t>
  </si>
  <si>
    <t>Greece</t>
  </si>
  <si>
    <t>household panel,  no causation, considers year of labeling law same as purchase of a labeled appliance, survey sample not representative of the general population, overall a paper with very poor study design (not experimental) and low internal and external validity</t>
  </si>
  <si>
    <t>Train, Atherton</t>
  </si>
  <si>
    <t>REBATES, LOANS, AND CUSTOMERS CHOICE OF APPLIANCE EFFICIENCY LEVEL - COMBINING STATED AND REVEALED-PREFERENCE DATA</t>
  </si>
  <si>
    <t xml:space="preserve">
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
provides information on customers' willingness to pay for energy savings, the importance of rebates in customers' decisions, and customers' response to DSM
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
programs. We find that attractive loans (e.g., low interest rates, long repayment periods) are necessary to have the same effect as rebates. Programs that offer
customers the option of loans or rebates are found to be far more effective than programs that offer only loans or only rebates.</t>
  </si>
  <si>
    <t>importance of the label in choice of energy efficient appliance - energy efficiency rating A</t>
  </si>
  <si>
    <t>Jain, Rao, Patwardhan</t>
  </si>
  <si>
    <t>Consumer preference for labels in the purchase decisions of air conditioners in India</t>
  </si>
  <si>
    <t xml:space="preserve">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t>
  </si>
  <si>
    <t>India</t>
  </si>
  <si>
    <t>base - no label for not efficient</t>
  </si>
  <si>
    <t>3-star rating</t>
  </si>
  <si>
    <t>Ma, Yu, Urban</t>
  </si>
  <si>
    <t>Green transition of energy systems in rural China: National survey evidence of households' discrete choices on water heaters</t>
  </si>
  <si>
    <t>Energy systems in rural China are experiencing a transition from traditional fossil fuels to renewables. This paper
aims to investigate the potential factors that influence the choices of rural residents regarding water heaters with
a focus on the low-carbon transition to solar water heating systems. To this end, a face-to-face questionnaire
survey is undertaken with 3404 rural households randomly selected among 12 representative provinces. A
comprehensive set of discrete choice modelling approaches were used. The empirical results show that (1)
sociodemographic variables have significant effects on residents’ first-stage choice of a water heater (to buy or not
to buy) but few effects on the second-stage decision to choose electric, LPG, or solar water heaters (which type to
buy); (2) information spillover is important to facilitate the usage of water heaters, particularly of solar products;
(3) the electricity price, which is regulated at a very low rate, has no apparent effect on the choice of solar water
heaters; (4) government subsidy has a significant effect in the first stage but no differentiated effect on the
decision choice in the second stage. Policy and managerial implications are presented to speed up the ongoing
low-carbon transition of energy systems in China.</t>
  </si>
  <si>
    <t>solar, base elc.</t>
  </si>
  <si>
    <t>water heater usage (electricity, LPG, solar, others)</t>
  </si>
  <si>
    <t>Harrington</t>
  </si>
  <si>
    <t>Quantifying energy savings from replacement of old refrigerators</t>
  </si>
  <si>
    <t>case study</t>
  </si>
  <si>
    <t>Sun</t>
  </si>
  <si>
    <t>Heterogeneous direct rebound effect: Theory and evidence from the Energy Star program</t>
  </si>
  <si>
    <t>Ren, Tibbs, McLauchlan, Ma, Harrington</t>
  </si>
  <si>
    <t>Refrigerator cost trap for low-income households: Developments in measurement and verification of appliance replacements</t>
  </si>
  <si>
    <t>Olsthoorn, Schleich, Gassmann, Faure</t>
  </si>
  <si>
    <t>Free riding and rebates for residential energy efficiency upgrades: A multi-country contingent valuation experiment</t>
  </si>
  <si>
    <t xml:space="preserve">adoption of renewable and energy saving appliances </t>
  </si>
  <si>
    <t>Raynaud, Osso, Bourges, Duplessis, Adnot</t>
  </si>
  <si>
    <t>Evidence of an indirect rebound effect with reveresible heat pumps: having air conditioning but not using it?</t>
  </si>
  <si>
    <t>Alberini, Towe</t>
  </si>
  <si>
    <t>Information v. energy efficiency incentives: Evidence from residential electricity consumption in Maryland</t>
  </si>
  <si>
    <t>Ridge</t>
  </si>
  <si>
    <t>Energy Conservation for Low-Income Households: The Evaporative Cooler Experience</t>
  </si>
  <si>
    <t>Chun, Jiang</t>
  </si>
  <si>
    <t>How households in Pakistan take on energy efficient lighting technology</t>
  </si>
  <si>
    <t>Pakistan</t>
  </si>
  <si>
    <t>Mizobuchi, Takeuchi</t>
  </si>
  <si>
    <t>Replacement or additional purchase: The impact of energy-efficient appliances on household electricity saving under public pressures</t>
  </si>
  <si>
    <t>Bjerregaard, Møller</t>
  </si>
  <si>
    <t>The Impact of EU's energy labeling policy: An econometric analysis of inceased transparency in the market of cold appliances in Denmark</t>
  </si>
  <si>
    <t>VAR</t>
  </si>
  <si>
    <t>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</si>
  <si>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</si>
  <si>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</si>
  <si>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</si>
  <si>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</si>
  <si>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</si>
  <si>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</si>
  <si>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random parameter logit</t>
  </si>
  <si>
    <t>Li, Clark, Jensen, Yen</t>
  </si>
  <si>
    <t>The Effect of Mail-in Utility Rebates on Willingness-to-Pay for ENERGY STAR® Certified Refrigerators</t>
  </si>
  <si>
    <t>Kusaka, Kojima, Watanabe</t>
  </si>
  <si>
    <t>no appliance breakdown</t>
  </si>
  <si>
    <t>eco cute</t>
  </si>
  <si>
    <t xml:space="preserve">from 0,04 to 0,07 </t>
  </si>
  <si>
    <t>Liang, Liu, Qiu, Wang, Xing</t>
  </si>
  <si>
    <t>Time-of-Use Electricity Pricing and Residential Low-carbon Energy Technology Adoption</t>
  </si>
  <si>
    <t>intervention</t>
  </si>
  <si>
    <t>Schleich, Durand, Brugger</t>
  </si>
  <si>
    <t>How effective are energy-efficiency incentive programs? Evidence from Italian homeowners</t>
  </si>
  <si>
    <t>Poland</t>
  </si>
  <si>
    <t>Romania</t>
  </si>
  <si>
    <t>Sweden</t>
  </si>
  <si>
    <t xml:space="preserve">Wang B, Deng, Liu, Sun, Wang ZH </t>
  </si>
  <si>
    <t>Effect of energy efficiency labels on household appliance choice in China: Sustainable consumption or irrational intertemporal choice?</t>
  </si>
  <si>
    <t>Mills, Schleich</t>
  </si>
  <si>
    <t>5-star rating</t>
  </si>
  <si>
    <t>solar, base LPG</t>
  </si>
  <si>
    <t>Hafner, Elmes, Read, White</t>
  </si>
  <si>
    <t>Exploring the role of normative, financial and environmental information in promoting uptake of energy efficient technologies</t>
  </si>
  <si>
    <t>The potential of normative and feedback (financial vs. environmental) information in guiding pro-environmental
decision-making behaviour was explored in a 2 × 2 (plus control) choice experiment. Using the context of home
heating, 599 non-student participants from the UK general public were asked to choose between a standard
heating system (a gas boiler) and a relatively more-energy efficient option (a heat pump). In line with evidence
for the energy efficiency gap for sustainable innovations, there was low uptake of the heat pump (32.5%) in the
control condition where no frame information was provided. Yet, in both conditions where normative information
was provided, respondents were significantly more likely (vs. control) to choose the heat pump (financial
+ norm OR 3.63; 95% CIs 2.13,6.19; environmental + norm OR 3.09; 95% CIs 1.67,4.79), advancing
understanding of normative social influence in the context of pro-environmental purchase behaviour. When
normative information was not provided, only financial (OR 2.82; 95% CIs 1.67,4.79) but not environmental
(OR 1.33; 95% CIs 0.78,2.26), feedback was associated with a significantly greater likelihood of heat pump
choice. The main effect of normative information was replicated for behavioural intentions (though only for
homeowners), but there was no norm-feedback interaction (regardless of homeownership). The implications for
researchers looking to promote ‘green’ choice in the context of new technology adoption are discussed.</t>
  </si>
  <si>
    <t>environmental + no normative information</t>
  </si>
  <si>
    <t>likelihood of a participant in the comparison condition to choose a more energy-efficient appliance compared to the odds if a participant in the control grpup to choose a less efficient appliance</t>
  </si>
  <si>
    <t>odds ratio</t>
  </si>
  <si>
    <t>LPG, base elec.</t>
  </si>
  <si>
    <t>Min, Azevedo, Michalek, de Bruin</t>
  </si>
  <si>
    <t>Labeling energy cost on light bulbs lowers implicit discount rates</t>
  </si>
  <si>
    <t>lab</t>
  </si>
  <si>
    <t>Heinzle, Wüstenhagen</t>
  </si>
  <si>
    <t>Disimproving the European Energy Label's value for consumers? Results from a consumer survey</t>
  </si>
  <si>
    <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
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t>
  </si>
  <si>
    <t>Respondents were split up into two different samples, which only differed with regard to the presentation
format of the label.</t>
  </si>
  <si>
    <t>Baysian Hierarchical modeling</t>
  </si>
  <si>
    <t>the probability of an individual choosing the efficient appliance in a particular choice task</t>
  </si>
  <si>
    <t>financial + no normative information</t>
  </si>
  <si>
    <t>environmental +  normative information</t>
  </si>
  <si>
    <t>financial +  normative information</t>
  </si>
  <si>
    <t>Anderson, Claxton</t>
  </si>
  <si>
    <t>Barriers to Consumer Choice of Energy Efficient Products</t>
  </si>
  <si>
    <t>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t>
  </si>
  <si>
    <t>Canada</t>
  </si>
  <si>
    <t>can't disentangle scepific effects for each intervention ?</t>
  </si>
  <si>
    <t xml:space="preserve">can't disentangle scepific effects for each intervention - emphasis on energy information and label </t>
  </si>
  <si>
    <t>treatments effect not differentiated</t>
  </si>
  <si>
    <t>Stadelmann, Schubert</t>
  </si>
  <si>
    <t>How Do Different Designs of Energy Labels Influence Purchases of Household Appliances? A Field Study in Switzerland</t>
  </si>
  <si>
    <t xml:space="preserve">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t>
  </si>
  <si>
    <t>country specific (?)</t>
  </si>
  <si>
    <t>additional information - in the description, base is just the label</t>
  </si>
  <si>
    <t>mean expected annual electricity consumption of appliances purchased</t>
  </si>
  <si>
    <t>DECC</t>
  </si>
  <si>
    <t>interval outcome measure denoting the kWh/year for a given product type purchased</t>
  </si>
  <si>
    <t>energy consumption (in kWh/year) of appliance sold</t>
  </si>
  <si>
    <t>Galarraga, Gonzalez-Eguino, Markandya</t>
  </si>
  <si>
    <t>Willingness to pay and price elasticities of demand for energy-efficient appliances: Combining the hedonic approach and demand systems</t>
  </si>
  <si>
    <t>binary</t>
  </si>
  <si>
    <t>Schultz, Colehour, Vohr, Bonn, Bullock, Sadler</t>
  </si>
  <si>
    <t>Using Social Marketing to Spur Residential Adoption of ENERGY STAR®-Certified LED Lighting</t>
  </si>
  <si>
    <t>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t>
  </si>
  <si>
    <t>Davis</t>
  </si>
  <si>
    <t>Durable goods and residential demand for energy and water: evidence from a field trial</t>
  </si>
  <si>
    <t>Faure, Guetlein, Schleich</t>
  </si>
  <si>
    <t>Effects of rescaling the EU energy label on household preferences for top-rated appliances</t>
  </si>
  <si>
    <t>Nishijima, Kagawa, Nansai, Oguchi</t>
  </si>
  <si>
    <t>Effects of product replacement programs on climate change</t>
  </si>
  <si>
    <t>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t>
  </si>
  <si>
    <t>2005-2013</t>
  </si>
  <si>
    <t>results are simulations from an estimated discrete choice model, likely not very robust</t>
  </si>
  <si>
    <t>Program that grants a reward when an old appliance was replaced by a more efficient one</t>
  </si>
  <si>
    <t>AC replacement rate</t>
  </si>
  <si>
    <t>Hlakotsa, Lencwe, Ngobeni, Chowdhury</t>
  </si>
  <si>
    <t>Energy Efficient Water Heating using Air Source Heat Pumps</t>
  </si>
  <si>
    <t>Orset</t>
  </si>
  <si>
    <t>Is information a good policy instrument to influence the energy behaviour of households?</t>
  </si>
  <si>
    <t>Harajli, Chalak</t>
  </si>
  <si>
    <t>Willingness to Pay for Energy Efficient Appliances: The Case of Lebanese Consumers</t>
  </si>
  <si>
    <t>Asinyaka</t>
  </si>
  <si>
    <t>Willingness to Pay for Energy Efficient Refrigerating Appliances in Accra, Ghana: A Choice Experiment Approach</t>
  </si>
  <si>
    <t>unclear</t>
  </si>
  <si>
    <t>study under contract with Energy Star, at least one number (896%) was reported incorrectly, which was spotted while coding</t>
  </si>
  <si>
    <t>LED bulbs sold</t>
  </si>
  <si>
    <t>Caldwell, Vaughan, Harrod, Harrod</t>
  </si>
  <si>
    <t>Social Marketing–Enhanced Home Energy Education Encourages Adoption of Energy-Saving Practices</t>
  </si>
  <si>
    <t>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t>
  </si>
  <si>
    <t>small sample size, outcome reported in percentage of households</t>
  </si>
  <si>
    <t>Intervention is combination of energy audit + energy education visit vs. audit only. Customers qualify for the study by requesting an  audit.</t>
  </si>
  <si>
    <t>percentage of households who purchased efficient lighting</t>
  </si>
  <si>
    <t>Dynamic Adjustment of Eco-labeling Schemes and Consumer Choice - the Revision of the EU Energy Label as a Missed Opportunity?: Dynamic Adjustment of Eco-labelling Schemes &amp; Consumer Choice</t>
  </si>
  <si>
    <t xml:space="preserve">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t>
  </si>
  <si>
    <t>Alberini, Gans, Towe</t>
  </si>
  <si>
    <t>Free Riding, Upsizing, and Energy Efﬁciency Incentives in Maryland Homes</t>
  </si>
  <si>
    <t>Davis, Fuchs, Gertler</t>
  </si>
  <si>
    <t>controlls</t>
  </si>
  <si>
    <t>rebate_timeframe</t>
  </si>
  <si>
    <t>dep_var_category</t>
  </si>
  <si>
    <t>bias</t>
  </si>
  <si>
    <t>students</t>
  </si>
  <si>
    <t>Alberini, Bigano</t>
  </si>
  <si>
    <t>PoC</t>
  </si>
  <si>
    <t>Looking for free riding: energy efficiency incentives and Italian homeowners</t>
  </si>
  <si>
    <t>RDD</t>
  </si>
  <si>
    <t>tenants</t>
  </si>
  <si>
    <t>The Role of Sales Agents in Information Disclosure: Evidence from a Field Experiment</t>
  </si>
  <si>
    <t>propensity score matching</t>
  </si>
  <si>
    <t>callers</t>
  </si>
  <si>
    <t>Russia</t>
  </si>
  <si>
    <t>Caldwell, Vaughn, Harrod E, Harrod J</t>
  </si>
  <si>
    <t>Social Marketing-Enhanced Home Energy Education Encourages Adoption of Energy-Saving Practices</t>
  </si>
  <si>
    <t>Analysing the impact of ENERGY STAR rebate policies in the US</t>
  </si>
  <si>
    <t>log-linear model</t>
  </si>
  <si>
    <t>EU</t>
  </si>
  <si>
    <t>Austria</t>
  </si>
  <si>
    <t>Life Cycle Cost Disclosure, Consumer Behavior, and Business Implications: Evidence From an Online Field Experiment</t>
  </si>
  <si>
    <t>France, Germany, Italy, Poland, Romania, Spain, Sweden, UK</t>
  </si>
  <si>
    <t>Dieu-Hang, Grafton, Martinez-Espineira, Garcia-Valinas</t>
  </si>
  <si>
    <t>double bounded contingent valuation model</t>
  </si>
  <si>
    <t>difference-in-difference-in-difference</t>
  </si>
  <si>
    <t>Figueroa, de Moliere, Pegels, Never, Kutzner</t>
  </si>
  <si>
    <t>Show me (more than) the money! Assessing the social and psychological dimensions to energy efficient lighting in Kenya</t>
  </si>
  <si>
    <t>Galaraga, Heres, Gonzalez, Eguino</t>
  </si>
  <si>
    <t>Price premium for high-efficiency refrigerators and calculation of price-elasticities for close-substitutes: a methodology using hedonic pricing and demand systems</t>
  </si>
  <si>
    <t>Assessment of the Governance System Regarding Adoption of Energy Efficient Appliances by Households in Nigeria</t>
  </si>
  <si>
    <t>generalised linear mixed modelling</t>
  </si>
  <si>
    <t>Ghozali, Kaneko</t>
  </si>
  <si>
    <t>Consumer behavior and ecolabeling</t>
  </si>
  <si>
    <t>Granda, Birner, Aron, Woodward</t>
  </si>
  <si>
    <t>The IFC/GEF Poland Efficient Lighting Project (PELP) final results</t>
  </si>
  <si>
    <t>Haas</t>
  </si>
  <si>
    <t>Some empirical findings of an Austrian appliance turn-in program</t>
  </si>
  <si>
    <t>Heinzle</t>
  </si>
  <si>
    <t>Disclosure of energy operating cost information: A silver bullet for overcoming the energy-efficiency gap?</t>
  </si>
  <si>
    <t>Consumers' Response to State Energy Efficient Appliance Rebate Programs</t>
  </si>
  <si>
    <t>Environmental consciousness, economic gain and consumer choice of energy efficient appliances in Thailand, China and India</t>
  </si>
  <si>
    <t>Visualisation approach and economic incentives toward low carbon practices in households: A survey study in Hyogo, Japan</t>
  </si>
  <si>
    <t>Menita, Domingos, Domingues, Alves, Calixto, Garcia, Faria, Miguel</t>
  </si>
  <si>
    <t>Measurement and verification in energy efficiency projects involving solar water heating systems in homes of low-income families - Case studies</t>
  </si>
  <si>
    <t>What's driving energy efficient appliance label awareness and purchase propensity?</t>
  </si>
  <si>
    <t>Modic</t>
  </si>
  <si>
    <t>Energy use in households</t>
  </si>
  <si>
    <t>Determinants of energy savings in Indonesia: The case of LED lighting in Bogor</t>
  </si>
  <si>
    <t>Drivers of consumers' change to an energy-efficient heating appliance (EEHA) in households: Evidence from five European countries</t>
  </si>
  <si>
    <t>Ohler, Loomis, Ilves</t>
  </si>
  <si>
    <t>A study of electricity savings from energy star appliances using household survey data</t>
  </si>
  <si>
    <t>Onuma, Matsumoto, Arimura</t>
  </si>
  <si>
    <t>How much household electricity consumption is actually saved by replacement with Light-Emitting Diodes (LEDs)?</t>
  </si>
  <si>
    <t>Peters, McWhinnie</t>
  </si>
  <si>
    <t>On the rebound: estimating direct rebound effects for Australian households</t>
  </si>
  <si>
    <t>Radpour, Mondal, Kumar</t>
  </si>
  <si>
    <t>Market penetration modeling of high energy efficiency appliances in the residential sector</t>
  </si>
  <si>
    <t>Mixed logit with repeated choices: households' choices of appliance efficiency level</t>
  </si>
  <si>
    <t>How effective are EU minimum energy performance standards and energy labels for cold appliances?</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</si>
  <si>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</si>
  <si>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</si>
  <si>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</si>
  <si>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</si>
  <si>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Turdaliev</t>
  </si>
  <si>
    <t>Increasing Block Rate Electricity Pricing and Propensity to Purchase Electrical Appliances: Evidence from a Natural Experiment in Russia</t>
  </si>
  <si>
    <t>Yao, Liu, Yan</t>
  </si>
  <si>
    <t>A quantile approach to assess the effectiveness of the subsidy policy for energy-efficient home appliances: Evidence from Rizhao, China</t>
  </si>
  <si>
    <t>Oländer, Thogersen</t>
  </si>
  <si>
    <t>Informing Versus Nudging in Environmental Policy</t>
  </si>
  <si>
    <t>these have only % change reported and no absolute diff of means</t>
  </si>
  <si>
    <t>comments</t>
  </si>
  <si>
    <t>dep_var - energy use of the appliance sold - opposite sign</t>
  </si>
  <si>
    <t>odd dep_var</t>
  </si>
  <si>
    <t>outlier</t>
  </si>
  <si>
    <t>Row Labels</t>
  </si>
  <si>
    <t>Grand Total</t>
  </si>
  <si>
    <t>Count of sr_no</t>
  </si>
  <si>
    <t>Count of statistical_technique</t>
  </si>
  <si>
    <t>Count of study_design</t>
  </si>
  <si>
    <t>Count of country</t>
  </si>
  <si>
    <t>Count of study_ID</t>
  </si>
  <si>
    <t>Count of incentive_follow_through</t>
  </si>
  <si>
    <t>Count of experimental_setting</t>
  </si>
  <si>
    <t>Count of participant_type</t>
  </si>
  <si>
    <t>Count of aware_of_study</t>
  </si>
  <si>
    <t>Count of opt_in</t>
  </si>
  <si>
    <t>Count of randomisation_dummy</t>
  </si>
  <si>
    <t>Count of outOfSampleBias</t>
  </si>
  <si>
    <t>Count of reportingBiases</t>
  </si>
  <si>
    <t>Sum of feedback</t>
  </si>
  <si>
    <t>Sum of information</t>
  </si>
  <si>
    <t>Sum of label</t>
  </si>
  <si>
    <t>Sum of rebate</t>
  </si>
  <si>
    <t>Sum of tax_credit</t>
  </si>
  <si>
    <t>Sum of subsidy</t>
  </si>
  <si>
    <t>Sum of loan</t>
  </si>
  <si>
    <t>Sum of choice_architecture</t>
  </si>
  <si>
    <t>Sum of washing_machine</t>
  </si>
  <si>
    <t>Sum of clothes_dryer</t>
  </si>
  <si>
    <t>Sum of diswasher</t>
  </si>
  <si>
    <t>Sum of refrigerator</t>
  </si>
  <si>
    <t>Sum of heat_pump</t>
  </si>
  <si>
    <t>Sum of lighting</t>
  </si>
  <si>
    <t>Sum of water_heater</t>
  </si>
  <si>
    <t>Sum of ac</t>
  </si>
  <si>
    <t>Sum of tv</t>
  </si>
  <si>
    <t>Count of dep_variable_purchase_category</t>
  </si>
  <si>
    <t>Count of dep_var_transformation</t>
  </si>
  <si>
    <t xml:space="preserve">Count of coefficient </t>
  </si>
  <si>
    <t>Count of effect_direction</t>
  </si>
  <si>
    <t>Count of coefficient_se</t>
  </si>
  <si>
    <t>Count of p_value</t>
  </si>
  <si>
    <t>Count of t_stat</t>
  </si>
  <si>
    <t>Count of significance_bound</t>
  </si>
  <si>
    <t>Count of percent_change</t>
  </si>
  <si>
    <t>Count of percent_change(binary predictor)</t>
  </si>
  <si>
    <t>Count of total_sample_size</t>
  </si>
  <si>
    <t>Sum of controls energy prices</t>
  </si>
  <si>
    <t>Sum of controls environmental attitudes</t>
  </si>
  <si>
    <t>Sum of controls demographics</t>
  </si>
  <si>
    <t>Count of label_scale</t>
  </si>
  <si>
    <t>Count of label_consumption</t>
  </si>
  <si>
    <t>Count of label_monetary</t>
  </si>
  <si>
    <t>Count of monetary_incentive_size</t>
  </si>
  <si>
    <t>Count of monetary_incentive_relative</t>
  </si>
  <si>
    <t>Count of monetary_incentive_timeframe</t>
  </si>
  <si>
    <t>Count of diff_mean</t>
  </si>
  <si>
    <t>Count of year_publication</t>
  </si>
  <si>
    <t>Count of exclusion_reason</t>
  </si>
  <si>
    <t>Average of df</t>
  </si>
  <si>
    <t>Count of study_design2</t>
  </si>
  <si>
    <t>Count of country2</t>
  </si>
  <si>
    <t>Average of d_value2</t>
  </si>
  <si>
    <t>Average of z_variance2</t>
  </si>
  <si>
    <t>Average of r_variance2</t>
  </si>
  <si>
    <t>Average of z_value2</t>
  </si>
  <si>
    <t>Average of r_effect_size_sample2</t>
  </si>
  <si>
    <t>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</si>
</sst>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_);[Red]\(0.00\)"/>
    <numFmt numFmtId="165" formatCode="#,##0.000"/>
    <numFmt numFmtId="166" formatCode="0.000"/>
    <numFmt numFmtId="167" formatCode="0.000_);[Red]\(0.000\)"/>
    <numFmt numFmtId="168" formatCode="0.0000_);[Red]\(0.0000\)"/>
    <numFmt numFmtId="169" formatCode="0.00000_);[Red]\(0.00000\)"/>
    <numFmt numFmtId="170" formatCode="0.0000000"/>
    <numFmt numFmtId="171" formatCode="0.0000"/>
  </numFmts>
  <fonts count="53">
    <font>
      <sz val="12"/>
      <color theme="1"/>
      <name val="Calibri"/>
      <family val="2"/>
      <scheme val="minor"/>
    </font>
    <font>
      <b/>
      <sz val="11"/>
      <name val="Calibri"/>
      <family val="2"/>
      <scheme val="minor"/>
    </font>
    <font>
      <b/>
      <sz val="12"/>
      <color theme="1"/>
      <name val="Calibri (Body)"/>
    </font>
    <font>
      <b/>
      <sz val="12"/>
      <name val="Calibri (Body)"/>
    </font>
    <font>
      <b/>
      <sz val="11"/>
      <color theme="1"/>
      <name val="Calibri"/>
      <family val="2"/>
      <scheme val="minor"/>
    </font>
    <font>
      <sz val="12"/>
      <color theme="1"/>
      <name val="Calibri"/>
      <family val="2"/>
    </font>
    <font>
      <sz val="12"/>
      <color rgb="FF000000"/>
      <name val="Calibri"/>
      <family val="2"/>
      <charset val="1"/>
    </font>
    <font>
      <sz val="12"/>
      <color rgb="FF111111"/>
      <name val="Calibri"/>
      <family val="2"/>
      <charset val="1"/>
    </font>
    <font>
      <sz val="12"/>
      <color rgb="FF000000"/>
      <name val="Calibri"/>
      <family val="2"/>
    </font>
    <font>
      <sz val="11"/>
      <color rgb="FF444444"/>
      <name val="Calibri"/>
      <family val="2"/>
    </font>
    <font>
      <sz val="11"/>
      <color rgb="FF202124"/>
      <name val="Calibri"/>
      <family val="2"/>
    </font>
    <font>
      <sz val="11"/>
      <color rgb="FF444444"/>
      <name val="Calibri"/>
      <family val="2"/>
      <charset val="1"/>
    </font>
    <font>
      <sz val="12"/>
      <color rgb="FF000000"/>
      <name val="Calibri"/>
      <family val="2"/>
      <scheme val="minor"/>
    </font>
    <font>
      <sz val="12"/>
      <color theme="1"/>
      <name val="TimesNewRoman"/>
    </font>
    <font>
      <sz val="9"/>
      <color rgb="FF111111"/>
      <name val="AdvTT3713a231"/>
    </font>
    <font>
      <sz val="13"/>
      <color theme="1"/>
      <name val="AdvOT596495f2"/>
    </font>
    <font>
      <sz val="13"/>
      <color theme="1"/>
      <name val="AdvOT596495f2+fb"/>
    </font>
    <font>
      <sz val="7"/>
      <color theme="1"/>
      <name val="AdvOT596495f2"/>
    </font>
    <font>
      <sz val="7"/>
      <color theme="1"/>
      <name val="AdvOT596495f2+fb"/>
    </font>
    <font>
      <b/>
      <sz val="12"/>
      <name val="Calibri"/>
      <family val="2"/>
      <scheme val="minor"/>
    </font>
    <font>
      <sz val="12"/>
      <color theme="1"/>
      <name val="Code2000"/>
    </font>
    <font>
      <sz val="12"/>
      <color theme="1"/>
      <name val="Calibri (Body)"/>
    </font>
    <font>
      <b/>
      <sz val="12"/>
      <color theme="1"/>
      <name val="Calibri"/>
      <family val="2"/>
      <scheme val="minor"/>
    </font>
    <font>
      <sz val="11"/>
      <color theme="1"/>
      <name val="Calibri"/>
      <family val="2"/>
      <scheme val="minor"/>
    </font>
    <font>
      <sz val="12"/>
      <name val="Calibri"/>
      <family val="2"/>
      <scheme val="minor"/>
    </font>
    <font>
      <sz val="12"/>
      <color rgb="FF111111"/>
      <name val="Calibri"/>
      <family val="2"/>
      <scheme val="minor"/>
    </font>
    <font>
      <sz val="12"/>
      <color rgb="FF000000"/>
      <name val="Calibri"/>
      <family val="2"/>
      <charset val="1"/>
      <scheme val="minor"/>
    </font>
    <font>
      <sz val="8"/>
      <name val="Calibri"/>
      <family val="2"/>
      <scheme val="minor"/>
    </font>
    <font>
      <sz val="12"/>
      <color theme="1"/>
      <name val="Calibri"/>
      <family val="2"/>
      <scheme val="minor"/>
    </font>
    <font>
      <sz val="9"/>
      <color indexed="81"/>
      <name val="Segoe UI"/>
      <charset val="1"/>
    </font>
    <font>
      <b/>
      <sz val="9"/>
      <color indexed="81"/>
      <name val="Segoe UI"/>
      <charset val="1"/>
    </font>
    <font>
      <sz val="11"/>
      <name val="Calibri"/>
      <family val="2"/>
      <scheme val="minor"/>
    </font>
    <font>
      <sz val="12"/>
      <name val="Calibri"/>
      <family val="2"/>
    </font>
    <font>
      <sz val="12"/>
      <color rgb="FF111111"/>
      <name val="AdvTT3713a231"/>
    </font>
    <font>
      <sz val="12"/>
      <name val="Calibri"/>
      <family val="2"/>
      <charset val="1"/>
    </font>
    <font>
      <sz val="12"/>
      <name val="Calibri"/>
      <family val="2"/>
      <charset val="1"/>
      <scheme val="minor"/>
    </font>
    <font>
      <sz val="11"/>
      <color rgb="FF000000"/>
      <name val="Calibri"/>
      <family val="2"/>
      <scheme val="minor"/>
    </font>
    <font>
      <sz val="12"/>
      <color theme="1"/>
      <name val="Calibri"/>
      <family val="2"/>
      <charset val="1"/>
    </font>
    <font>
      <sz val="12"/>
      <color theme="1"/>
      <name val="Calibri"/>
      <family val="2"/>
      <charset val="1"/>
      <scheme val="minor"/>
    </font>
    <font>
      <sz val="12"/>
      <color rgb="FFFF0000"/>
      <name val="Calibri"/>
      <family val="2"/>
      <scheme val="minor"/>
    </font>
    <font>
      <sz val="12"/>
      <color rgb="FFFF0000"/>
      <name val="Calibri (Body)"/>
    </font>
    <font>
      <sz val="12"/>
      <color rgb="FFFF0000"/>
      <name val="Calibri"/>
      <family val="2"/>
      <charset val="1"/>
    </font>
    <font>
      <sz val="12"/>
      <color rgb="FFFF0000"/>
      <name val="Calibri"/>
      <family val="2"/>
    </font>
    <font>
      <sz val="12"/>
      <name val="TimesNewRoman"/>
    </font>
    <font>
      <sz val="12"/>
      <name val="Calibri (Body)"/>
    </font>
    <font>
      <sz val="12"/>
      <name val="TimesLTStd"/>
    </font>
    <font>
      <i/>
      <sz val="12"/>
      <name val="TimesLTStd"/>
    </font>
    <font>
      <sz val="12"/>
      <color rgb="FF000000"/>
      <name val="Calibri (Body)"/>
    </font>
    <font>
      <sz val="11"/>
      <color rgb="FF000000"/>
      <name val="Calibri"/>
      <family val="2"/>
      <charset val="1"/>
    </font>
    <font>
      <sz val="11"/>
      <color rgb="FFFF0000"/>
      <name val="Calibri"/>
      <family val="2"/>
      <charset val="1"/>
    </font>
    <font>
      <sz val="12"/>
      <color rgb="FFFF0000"/>
      <name val="Calibri"/>
      <family val="2"/>
      <charset val="1"/>
      <scheme val="minor"/>
    </font>
    <font>
      <sz val="11"/>
      <color rgb="FFFF0000"/>
      <name val="Calibri (Body)"/>
    </font>
    <font>
      <sz val="11"/>
      <color rgb="FFFF0000"/>
      <name val="Calibri"/>
      <family val="2"/>
      <scheme val="minor"/>
    </font>
  </fonts>
  <fills count="21">
    <fill>
      <patternFill patternType="none"/>
    </fill>
    <fill>
      <patternFill patternType="gray125"/>
    </fill>
    <fill>
      <patternFill patternType="solid">
        <fgColor theme="0"/>
        <bgColor theme="9"/>
      </patternFill>
    </fill>
    <fill>
      <patternFill patternType="solid">
        <fgColor rgb="FFF2F2F2"/>
        <bgColor indexed="64"/>
      </patternFill>
    </fill>
    <fill>
      <patternFill patternType="solid">
        <fgColor rgb="FFFFF2CC"/>
        <bgColor indexed="64"/>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theme="7" tint="0.79998168889431442"/>
        <bgColor theme="9"/>
      </patternFill>
    </fill>
    <fill>
      <patternFill patternType="solid">
        <fgColor theme="9" tint="0.79998168889431442"/>
        <bgColor theme="9"/>
      </patternFill>
    </fill>
    <fill>
      <patternFill patternType="solid">
        <fgColor rgb="FFFFFF00"/>
        <bgColor indexed="64"/>
      </patternFill>
    </fill>
    <fill>
      <patternFill patternType="solid">
        <fgColor rgb="FFD9E1F2"/>
        <bgColor indexed="64"/>
      </patternFill>
    </fill>
    <fill>
      <patternFill patternType="solid">
        <fgColor rgb="FFFCE4D6"/>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right style="thin">
        <color indexed="64"/>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rgb="FF000000"/>
      </right>
      <top/>
      <bottom/>
      <diagonal/>
    </border>
    <border>
      <left style="thin">
        <color theme="9" tint="0.39997558519241921"/>
      </left>
      <right style="thin">
        <color rgb="FF000000"/>
      </right>
      <top style="thin">
        <color theme="9" tint="0.39997558519241921"/>
      </top>
      <bottom style="thin">
        <color theme="9" tint="0.39997558519241921"/>
      </bottom>
      <diagonal/>
    </border>
    <border>
      <left/>
      <right style="thin">
        <color rgb="FF000000"/>
      </right>
      <top style="thin">
        <color theme="9" tint="0.39997558519241921"/>
      </top>
      <bottom style="thin">
        <color theme="9" tint="0.39997558519241921"/>
      </bottom>
      <diagonal/>
    </border>
    <border>
      <left style="thin">
        <color rgb="FF000000"/>
      </left>
      <right/>
      <top style="thin">
        <color theme="9" tint="0.39997558519241921"/>
      </top>
      <bottom style="thin">
        <color theme="9" tint="0.39997558519241921"/>
      </bottom>
      <diagonal/>
    </border>
  </borders>
  <cellStyleXfs count="2">
    <xf numFmtId="0" fontId="0" fillId="0" borderId="0"/>
    <xf numFmtId="9" fontId="28" fillId="0" borderId="0" applyFont="0" applyFill="0" applyBorder="0" applyAlignment="0" applyProtection="0"/>
  </cellStyleXfs>
  <cellXfs count="219">
    <xf numFmtId="0" fontId="0" fillId="0" borderId="0" xfId="0"/>
    <xf numFmtId="0" fontId="1" fillId="2" borderId="1" xfId="0" applyFont="1" applyFill="1" applyBorder="1" applyAlignment="1">
      <alignment wrapText="1"/>
    </xf>
    <xf numFmtId="0" fontId="2" fillId="0" borderId="0" xfId="0" applyFont="1"/>
    <xf numFmtId="0" fontId="3" fillId="2" borderId="1" xfId="0" applyFont="1" applyFill="1" applyBorder="1" applyAlignment="1">
      <alignment wrapText="1"/>
    </xf>
    <xf numFmtId="0" fontId="2" fillId="0" borderId="2" xfId="0" applyFont="1" applyBorder="1"/>
    <xf numFmtId="0" fontId="2" fillId="0" borderId="0" xfId="0" applyFont="1" applyAlignment="1">
      <alignment wrapText="1"/>
    </xf>
    <xf numFmtId="0" fontId="2" fillId="0" borderId="3" xfId="0" applyFont="1" applyBorder="1"/>
    <xf numFmtId="164" fontId="0" fillId="0" borderId="0" xfId="0" applyNumberFormat="1"/>
    <xf numFmtId="0" fontId="1" fillId="2" borderId="4" xfId="0" applyFont="1" applyFill="1" applyBorder="1" applyAlignment="1">
      <alignment wrapText="1"/>
    </xf>
    <xf numFmtId="0" fontId="4" fillId="0" borderId="5" xfId="0" applyFont="1" applyBorder="1"/>
    <xf numFmtId="0" fontId="5" fillId="0" borderId="0" xfId="0" applyFont="1"/>
    <xf numFmtId="0" fontId="6" fillId="0" borderId="0" xfId="0" applyFont="1"/>
    <xf numFmtId="0" fontId="0" fillId="3" borderId="0" xfId="0" applyFill="1"/>
    <xf numFmtId="0" fontId="2" fillId="3" borderId="2" xfId="0" applyFont="1" applyFill="1" applyBorder="1"/>
    <xf numFmtId="0" fontId="0" fillId="4" borderId="0" xfId="0" applyFill="1"/>
    <xf numFmtId="0" fontId="6" fillId="5" borderId="0" xfId="0" applyFont="1" applyFill="1"/>
    <xf numFmtId="166" fontId="0" fillId="0" borderId="0" xfId="0" applyNumberFormat="1"/>
    <xf numFmtId="0" fontId="0" fillId="5" borderId="0" xfId="0" applyFill="1"/>
    <xf numFmtId="0" fontId="8" fillId="0" borderId="0" xfId="0" applyFont="1"/>
    <xf numFmtId="0" fontId="11" fillId="0" borderId="0" xfId="0" quotePrefix="1" applyFont="1"/>
    <xf numFmtId="164" fontId="0" fillId="5" borderId="0" xfId="0" applyNumberFormat="1" applyFill="1"/>
    <xf numFmtId="168" fontId="0" fillId="0" borderId="0" xfId="0" applyNumberFormat="1"/>
    <xf numFmtId="0" fontId="13" fillId="0" borderId="0" xfId="0" applyFont="1"/>
    <xf numFmtId="0" fontId="1" fillId="0" borderId="1" xfId="0" applyFont="1" applyBorder="1" applyAlignment="1">
      <alignment wrapText="1"/>
    </xf>
    <xf numFmtId="0" fontId="1" fillId="5" borderId="1" xfId="0" applyFont="1" applyFill="1" applyBorder="1" applyAlignment="1">
      <alignment wrapText="1"/>
    </xf>
    <xf numFmtId="169" fontId="0" fillId="0" borderId="0" xfId="0" applyNumberFormat="1"/>
    <xf numFmtId="0" fontId="0" fillId="0" borderId="0" xfId="0" applyAlignment="1">
      <alignment wrapText="1"/>
    </xf>
    <xf numFmtId="0" fontId="0" fillId="0" borderId="0" xfId="0" applyAlignment="1">
      <alignment horizontal="right"/>
    </xf>
    <xf numFmtId="170" fontId="4" fillId="0" borderId="5" xfId="0" applyNumberFormat="1" applyFont="1" applyBorder="1"/>
    <xf numFmtId="170" fontId="19" fillId="2" borderId="0" xfId="0" applyNumberFormat="1" applyFont="1" applyFill="1" applyAlignment="1">
      <alignment wrapText="1"/>
    </xf>
    <xf numFmtId="170" fontId="0" fillId="0" borderId="0" xfId="0" applyNumberFormat="1"/>
    <xf numFmtId="0" fontId="10" fillId="0" borderId="0" xfId="0" applyFont="1"/>
    <xf numFmtId="0" fontId="12" fillId="0" borderId="0" xfId="0" applyFont="1"/>
    <xf numFmtId="164" fontId="12" fillId="0" borderId="0" xfId="0" applyNumberFormat="1" applyFont="1"/>
    <xf numFmtId="0" fontId="11" fillId="0" borderId="0" xfId="0" applyFont="1"/>
    <xf numFmtId="165" fontId="0" fillId="0" borderId="0" xfId="0" applyNumberFormat="1"/>
    <xf numFmtId="0" fontId="9" fillId="0" borderId="0" xfId="0" applyFont="1"/>
    <xf numFmtId="0" fontId="22" fillId="0" borderId="0" xfId="0" applyFont="1" applyAlignment="1">
      <alignment wrapText="1"/>
    </xf>
    <xf numFmtId="0" fontId="19" fillId="2" borderId="1" xfId="0" applyFont="1" applyFill="1" applyBorder="1"/>
    <xf numFmtId="0" fontId="6" fillId="0" borderId="0" xfId="0" applyFont="1" applyAlignment="1">
      <alignment horizontal="right"/>
    </xf>
    <xf numFmtId="0" fontId="22" fillId="0" borderId="0" xfId="0" applyFont="1"/>
    <xf numFmtId="0" fontId="0" fillId="15" borderId="0" xfId="0" applyFill="1" applyAlignment="1">
      <alignment wrapText="1"/>
    </xf>
    <xf numFmtId="0" fontId="0" fillId="15" borderId="0" xfId="0" applyFill="1"/>
    <xf numFmtId="0" fontId="2" fillId="15" borderId="0" xfId="0" applyFont="1" applyFill="1"/>
    <xf numFmtId="0" fontId="8" fillId="15" borderId="0" xfId="0" applyFont="1" applyFill="1"/>
    <xf numFmtId="0" fontId="23" fillId="0" borderId="0" xfId="0" applyFont="1" applyAlignment="1">
      <alignment vertical="center"/>
    </xf>
    <xf numFmtId="0" fontId="5" fillId="15" borderId="0" xfId="0" applyFont="1" applyFill="1"/>
    <xf numFmtId="0" fontId="31" fillId="0" borderId="0" xfId="0" applyFont="1"/>
    <xf numFmtId="0" fontId="31" fillId="15" borderId="0" xfId="0" applyFont="1" applyFill="1"/>
    <xf numFmtId="164" fontId="0" fillId="15" borderId="0" xfId="0" applyNumberFormat="1" applyFill="1"/>
    <xf numFmtId="168" fontId="0" fillId="15" borderId="0" xfId="0" applyNumberFormat="1" applyFill="1"/>
    <xf numFmtId="0" fontId="12" fillId="15" borderId="0" xfId="0" applyFont="1" applyFill="1"/>
    <xf numFmtId="170" fontId="0" fillId="15" borderId="0" xfId="0" applyNumberFormat="1" applyFill="1"/>
    <xf numFmtId="0" fontId="11" fillId="15" borderId="0" xfId="0" quotePrefix="1" applyFont="1" applyFill="1"/>
    <xf numFmtId="167" fontId="0" fillId="15" borderId="0" xfId="0" applyNumberFormat="1" applyFill="1"/>
    <xf numFmtId="0" fontId="6" fillId="15" borderId="0" xfId="0" applyFont="1" applyFill="1"/>
    <xf numFmtId="0" fontId="13" fillId="15" borderId="0" xfId="0" applyFont="1" applyFill="1"/>
    <xf numFmtId="0" fontId="22" fillId="15" borderId="0" xfId="0" applyFont="1" applyFill="1"/>
    <xf numFmtId="0" fontId="36" fillId="0" borderId="0" xfId="0" applyFont="1"/>
    <xf numFmtId="0" fontId="37" fillId="0" borderId="0" xfId="0" applyFont="1" applyAlignment="1">
      <alignment horizontal="right"/>
    </xf>
    <xf numFmtId="0" fontId="2" fillId="10" borderId="0" xfId="0" applyFont="1" applyFill="1"/>
    <xf numFmtId="0" fontId="3" fillId="10" borderId="1" xfId="0" applyFont="1" applyFill="1" applyBorder="1"/>
    <xf numFmtId="0" fontId="3" fillId="10" borderId="0" xfId="0" applyFont="1" applyFill="1"/>
    <xf numFmtId="0" fontId="22" fillId="10" borderId="0" xfId="0" applyFont="1" applyFill="1"/>
    <xf numFmtId="0" fontId="2" fillId="10" borderId="6" xfId="0" applyFont="1" applyFill="1" applyBorder="1"/>
    <xf numFmtId="0" fontId="2" fillId="7" borderId="0" xfId="0" applyFont="1" applyFill="1"/>
    <xf numFmtId="0" fontId="22" fillId="13" borderId="4" xfId="0" applyFont="1" applyFill="1" applyBorder="1"/>
    <xf numFmtId="0" fontId="22" fillId="17" borderId="9" xfId="0" applyFont="1" applyFill="1" applyBorder="1"/>
    <xf numFmtId="0" fontId="22" fillId="17" borderId="1" xfId="0" applyFont="1" applyFill="1" applyBorder="1"/>
    <xf numFmtId="0" fontId="22" fillId="9" borderId="1" xfId="0" applyFont="1" applyFill="1" applyBorder="1"/>
    <xf numFmtId="0" fontId="22" fillId="17" borderId="0" xfId="0" applyFont="1" applyFill="1"/>
    <xf numFmtId="0" fontId="22" fillId="17" borderId="4" xfId="0" applyFont="1" applyFill="1" applyBorder="1"/>
    <xf numFmtId="0" fontId="22" fillId="17" borderId="8" xfId="0" applyFont="1" applyFill="1" applyBorder="1"/>
    <xf numFmtId="0" fontId="2" fillId="6" borderId="2" xfId="0" applyFont="1" applyFill="1" applyBorder="1"/>
    <xf numFmtId="0" fontId="2" fillId="6" borderId="0" xfId="0" applyFont="1" applyFill="1"/>
    <xf numFmtId="0" fontId="2" fillId="8" borderId="2" xfId="0" applyFont="1" applyFill="1" applyBorder="1"/>
    <xf numFmtId="0" fontId="2" fillId="8" borderId="0" xfId="0" applyFont="1" applyFill="1"/>
    <xf numFmtId="0" fontId="2" fillId="10" borderId="2" xfId="0" applyFont="1" applyFill="1" applyBorder="1"/>
    <xf numFmtId="0" fontId="3" fillId="14" borderId="1" xfId="0" applyFont="1" applyFill="1" applyBorder="1"/>
    <xf numFmtId="0" fontId="19" fillId="14" borderId="1" xfId="0" applyFont="1" applyFill="1" applyBorder="1"/>
    <xf numFmtId="0" fontId="19" fillId="14" borderId="7" xfId="0" applyFont="1" applyFill="1" applyBorder="1"/>
    <xf numFmtId="0" fontId="19" fillId="14" borderId="4" xfId="0" applyFont="1" applyFill="1" applyBorder="1"/>
    <xf numFmtId="0" fontId="19" fillId="7" borderId="4" xfId="0" applyFont="1" applyFill="1" applyBorder="1"/>
    <xf numFmtId="0" fontId="19" fillId="7" borderId="1" xfId="0" applyFont="1" applyFill="1" applyBorder="1"/>
    <xf numFmtId="0" fontId="19" fillId="7" borderId="7" xfId="0" applyFont="1" applyFill="1" applyBorder="1"/>
    <xf numFmtId="0" fontId="19" fillId="11" borderId="4" xfId="0" applyFont="1" applyFill="1" applyBorder="1"/>
    <xf numFmtId="0" fontId="19" fillId="11" borderId="1" xfId="0" applyFont="1" applyFill="1" applyBorder="1"/>
    <xf numFmtId="0" fontId="19" fillId="11" borderId="7" xfId="0" applyFont="1" applyFill="1" applyBorder="1"/>
    <xf numFmtId="0" fontId="19" fillId="12" borderId="4" xfId="0" applyFont="1" applyFill="1" applyBorder="1"/>
    <xf numFmtId="0" fontId="19" fillId="12" borderId="1" xfId="0" applyFont="1" applyFill="1" applyBorder="1"/>
    <xf numFmtId="0" fontId="22" fillId="16" borderId="4" xfId="0" applyFont="1" applyFill="1" applyBorder="1"/>
    <xf numFmtId="0" fontId="22" fillId="16" borderId="1" xfId="0" applyFont="1" applyFill="1" applyBorder="1"/>
    <xf numFmtId="0" fontId="22" fillId="16" borderId="7" xfId="0" applyFont="1" applyFill="1" applyBorder="1"/>
    <xf numFmtId="170" fontId="19" fillId="2" borderId="0" xfId="0" applyNumberFormat="1" applyFont="1" applyFill="1"/>
    <xf numFmtId="170" fontId="22" fillId="0" borderId="0" xfId="0" applyNumberFormat="1" applyFont="1"/>
    <xf numFmtId="0" fontId="21" fillId="0" borderId="0" xfId="0" applyFont="1"/>
    <xf numFmtId="169" fontId="21" fillId="0" borderId="0" xfId="0" applyNumberFormat="1" applyFont="1"/>
    <xf numFmtId="164" fontId="21" fillId="0" borderId="0" xfId="0" applyNumberFormat="1" applyFont="1"/>
    <xf numFmtId="9" fontId="21" fillId="0" borderId="0" xfId="1" applyFont="1" applyFill="1" applyAlignment="1"/>
    <xf numFmtId="10" fontId="37" fillId="0" borderId="0" xfId="1" applyNumberFormat="1" applyFont="1" applyFill="1" applyAlignment="1"/>
    <xf numFmtId="0" fontId="47" fillId="0" borderId="0" xfId="0" applyFont="1"/>
    <xf numFmtId="170" fontId="12" fillId="0" borderId="0" xfId="0" applyNumberFormat="1" applyFont="1"/>
    <xf numFmtId="1" fontId="0" fillId="0" borderId="0" xfId="0" applyNumberFormat="1"/>
    <xf numFmtId="0" fontId="40" fillId="0" borderId="0" xfId="0" applyFont="1"/>
    <xf numFmtId="168" fontId="21" fillId="0" borderId="0" xfId="0" applyNumberFormat="1" applyFont="1"/>
    <xf numFmtId="0" fontId="34" fillId="0" borderId="0" xfId="0" applyFont="1"/>
    <xf numFmtId="0" fontId="35" fillId="0" borderId="0" xfId="0" applyFont="1"/>
    <xf numFmtId="10" fontId="0" fillId="0" borderId="0" xfId="1" applyNumberFormat="1" applyFont="1" applyAlignment="1"/>
    <xf numFmtId="0" fontId="24" fillId="0" borderId="0" xfId="0" applyFont="1"/>
    <xf numFmtId="3" fontId="0" fillId="0" borderId="0" xfId="0" applyNumberFormat="1"/>
    <xf numFmtId="0" fontId="25" fillId="0" borderId="0" xfId="0" applyFont="1"/>
    <xf numFmtId="10" fontId="6" fillId="0" borderId="0" xfId="1" applyNumberFormat="1" applyFont="1" applyAlignment="1"/>
    <xf numFmtId="10" fontId="37" fillId="15" borderId="0" xfId="1" applyNumberFormat="1" applyFont="1" applyFill="1" applyAlignment="1"/>
    <xf numFmtId="0" fontId="7" fillId="0" borderId="0" xfId="0" applyFont="1"/>
    <xf numFmtId="0" fontId="0" fillId="8" borderId="0" xfId="0" applyFill="1"/>
    <xf numFmtId="0" fontId="37" fillId="0" borderId="0" xfId="0" applyFont="1"/>
    <xf numFmtId="10" fontId="37" fillId="0" borderId="0" xfId="1" applyNumberFormat="1" applyFont="1" applyAlignment="1"/>
    <xf numFmtId="0" fontId="32" fillId="19" borderId="0" xfId="0" applyFont="1" applyFill="1"/>
    <xf numFmtId="0" fontId="32" fillId="0" borderId="0" xfId="0" applyFont="1"/>
    <xf numFmtId="167" fontId="24" fillId="0" borderId="0" xfId="0" applyNumberFormat="1" applyFont="1"/>
    <xf numFmtId="164" fontId="24" fillId="0" borderId="0" xfId="0" applyNumberFormat="1" applyFont="1"/>
    <xf numFmtId="9" fontId="44" fillId="0" borderId="0" xfId="1" applyFont="1" applyAlignment="1"/>
    <xf numFmtId="0" fontId="39" fillId="0" borderId="0" xfId="0" applyFont="1"/>
    <xf numFmtId="170" fontId="24" fillId="0" borderId="0" xfId="0" applyNumberFormat="1" applyFont="1"/>
    <xf numFmtId="0" fontId="34" fillId="8" borderId="0" xfId="0" applyFont="1" applyFill="1"/>
    <xf numFmtId="0" fontId="24" fillId="8" borderId="0" xfId="0" applyFont="1" applyFill="1"/>
    <xf numFmtId="0" fontId="32" fillId="8" borderId="0" xfId="0" applyFont="1" applyFill="1"/>
    <xf numFmtId="167" fontId="24" fillId="8" borderId="0" xfId="0" applyNumberFormat="1" applyFont="1" applyFill="1"/>
    <xf numFmtId="164" fontId="24" fillId="8" borderId="0" xfId="0" applyNumberFormat="1" applyFont="1" applyFill="1"/>
    <xf numFmtId="9" fontId="44" fillId="8" borderId="0" xfId="1" applyFont="1" applyFill="1" applyAlignment="1"/>
    <xf numFmtId="170" fontId="0" fillId="8" borderId="0" xfId="0" applyNumberFormat="1" applyFill="1"/>
    <xf numFmtId="0" fontId="0" fillId="18" borderId="0" xfId="0" applyFill="1"/>
    <xf numFmtId="0" fontId="12" fillId="8" borderId="0" xfId="0" applyFont="1" applyFill="1"/>
    <xf numFmtId="0" fontId="6" fillId="8" borderId="0" xfId="0" applyFont="1" applyFill="1"/>
    <xf numFmtId="168" fontId="12" fillId="8" borderId="0" xfId="0" applyNumberFormat="1" applyFont="1" applyFill="1"/>
    <xf numFmtId="164" fontId="12" fillId="8" borderId="0" xfId="0" applyNumberFormat="1" applyFont="1" applyFill="1"/>
    <xf numFmtId="10" fontId="12" fillId="8" borderId="0" xfId="0" applyNumberFormat="1" applyFont="1" applyFill="1"/>
    <xf numFmtId="170" fontId="12" fillId="8" borderId="0" xfId="0" applyNumberFormat="1" applyFont="1" applyFill="1"/>
    <xf numFmtId="167" fontId="0" fillId="0" borderId="0" xfId="0" applyNumberFormat="1"/>
    <xf numFmtId="0" fontId="39" fillId="8" borderId="0" xfId="0" applyFont="1" applyFill="1"/>
    <xf numFmtId="0" fontId="40" fillId="8" borderId="0" xfId="0" applyFont="1" applyFill="1"/>
    <xf numFmtId="0" fontId="41" fillId="8" borderId="0" xfId="0" applyFont="1" applyFill="1"/>
    <xf numFmtId="0" fontId="50" fillId="8" borderId="0" xfId="0" applyFont="1" applyFill="1"/>
    <xf numFmtId="164" fontId="39" fillId="8" borderId="0" xfId="0" applyNumberFormat="1" applyFont="1" applyFill="1"/>
    <xf numFmtId="10" fontId="39" fillId="8" borderId="0" xfId="1" applyNumberFormat="1" applyFont="1" applyFill="1" applyAlignment="1"/>
    <xf numFmtId="9" fontId="39" fillId="8" borderId="0" xfId="0" applyNumberFormat="1" applyFont="1" applyFill="1"/>
    <xf numFmtId="170" fontId="39" fillId="8" borderId="0" xfId="0" applyNumberFormat="1" applyFont="1" applyFill="1"/>
    <xf numFmtId="168" fontId="5" fillId="0" borderId="0" xfId="0" applyNumberFormat="1" applyFont="1"/>
    <xf numFmtId="164" fontId="5" fillId="0" borderId="0" xfId="0" applyNumberFormat="1" applyFont="1"/>
    <xf numFmtId="0" fontId="21" fillId="8" borderId="0" xfId="0" applyFont="1" applyFill="1"/>
    <xf numFmtId="0" fontId="21" fillId="5" borderId="0" xfId="0" applyFont="1" applyFill="1"/>
    <xf numFmtId="0" fontId="42" fillId="8" borderId="0" xfId="0" applyFont="1" applyFill="1"/>
    <xf numFmtId="0" fontId="51" fillId="8" borderId="0" xfId="0" applyFont="1" applyFill="1"/>
    <xf numFmtId="164" fontId="40" fillId="8" borderId="0" xfId="0" applyNumberFormat="1" applyFont="1" applyFill="1"/>
    <xf numFmtId="0" fontId="49" fillId="0" borderId="0" xfId="0" quotePrefix="1" applyFont="1"/>
    <xf numFmtId="9" fontId="40" fillId="8" borderId="0" xfId="1" applyFont="1" applyFill="1" applyAlignment="1"/>
    <xf numFmtId="170" fontId="39" fillId="0" borderId="0" xfId="0" applyNumberFormat="1" applyFont="1"/>
    <xf numFmtId="0" fontId="52" fillId="8" borderId="0" xfId="0" applyFont="1" applyFill="1"/>
    <xf numFmtId="171" fontId="0" fillId="0" borderId="0" xfId="0" applyNumberFormat="1"/>
    <xf numFmtId="0" fontId="38" fillId="0" borderId="0" xfId="0" applyFont="1"/>
    <xf numFmtId="9" fontId="0" fillId="0" borderId="0" xfId="1" applyFont="1" applyFill="1" applyAlignment="1"/>
    <xf numFmtId="0" fontId="37" fillId="7" borderId="0" xfId="0" applyFont="1" applyFill="1"/>
    <xf numFmtId="0" fontId="21" fillId="7" borderId="0" xfId="0" applyFont="1" applyFill="1"/>
    <xf numFmtId="0" fontId="5" fillId="7" borderId="0" xfId="0" applyFont="1" applyFill="1"/>
    <xf numFmtId="0" fontId="0" fillId="7" borderId="0" xfId="0" applyFill="1"/>
    <xf numFmtId="164" fontId="0" fillId="7" borderId="0" xfId="0" applyNumberFormat="1" applyFill="1"/>
    <xf numFmtId="10" fontId="0" fillId="7" borderId="0" xfId="1" applyNumberFormat="1" applyFont="1" applyFill="1" applyAlignment="1"/>
    <xf numFmtId="170" fontId="0" fillId="7" borderId="0" xfId="0" applyNumberFormat="1" applyFill="1"/>
    <xf numFmtId="0" fontId="26" fillId="0" borderId="0" xfId="0" applyFont="1"/>
    <xf numFmtId="9" fontId="8" fillId="0" borderId="0" xfId="1" applyFont="1" applyFill="1" applyAlignment="1"/>
    <xf numFmtId="9" fontId="24" fillId="15" borderId="0" xfId="1" applyFont="1" applyFill="1" applyAlignment="1"/>
    <xf numFmtId="9" fontId="24" fillId="0" borderId="0" xfId="1" applyFont="1" applyFill="1" applyAlignment="1"/>
    <xf numFmtId="168" fontId="21" fillId="15" borderId="0" xfId="0" applyNumberFormat="1" applyFont="1" applyFill="1"/>
    <xf numFmtId="9" fontId="8" fillId="15" borderId="0" xfId="1" applyFont="1" applyFill="1" applyAlignment="1"/>
    <xf numFmtId="164" fontId="47" fillId="15" borderId="0" xfId="0" applyNumberFormat="1" applyFont="1" applyFill="1"/>
    <xf numFmtId="164" fontId="47" fillId="0" borderId="0" xfId="0" applyNumberFormat="1" applyFont="1"/>
    <xf numFmtId="0" fontId="47" fillId="15" borderId="0" xfId="0" applyFont="1" applyFill="1"/>
    <xf numFmtId="0" fontId="48" fillId="15" borderId="0" xfId="0" quotePrefix="1" applyFont="1" applyFill="1"/>
    <xf numFmtId="10" fontId="47" fillId="0" borderId="0" xfId="1" applyNumberFormat="1" applyFont="1" applyAlignment="1"/>
    <xf numFmtId="10" fontId="6" fillId="15" borderId="0" xfId="1" applyNumberFormat="1" applyFont="1" applyFill="1" applyAlignment="1"/>
    <xf numFmtId="0" fontId="47" fillId="5" borderId="0" xfId="0" applyFont="1" applyFill="1"/>
    <xf numFmtId="9" fontId="0" fillId="0" borderId="0" xfId="1" applyFont="1" applyAlignment="1"/>
    <xf numFmtId="0" fontId="38" fillId="15" borderId="0" xfId="0" applyFont="1" applyFill="1"/>
    <xf numFmtId="0" fontId="12" fillId="7" borderId="0" xfId="0" applyFont="1" applyFill="1"/>
    <xf numFmtId="0" fontId="47" fillId="7" borderId="0" xfId="0" applyFont="1" applyFill="1"/>
    <xf numFmtId="0" fontId="36" fillId="7" borderId="0" xfId="0" applyFont="1" applyFill="1"/>
    <xf numFmtId="167" fontId="12" fillId="7" borderId="0" xfId="0" applyNumberFormat="1" applyFont="1" applyFill="1"/>
    <xf numFmtId="164" fontId="12" fillId="7" borderId="0" xfId="0" applyNumberFormat="1" applyFont="1" applyFill="1"/>
    <xf numFmtId="10" fontId="12" fillId="7" borderId="0" xfId="1" applyNumberFormat="1" applyFont="1" applyFill="1" applyAlignment="1"/>
    <xf numFmtId="170" fontId="12" fillId="7" borderId="0" xfId="0" applyNumberFormat="1" applyFont="1" applyFill="1"/>
    <xf numFmtId="0" fontId="34" fillId="7" borderId="0" xfId="0" applyFont="1" applyFill="1"/>
    <xf numFmtId="9" fontId="0" fillId="0" borderId="0" xfId="0" applyNumberFormat="1"/>
    <xf numFmtId="0" fontId="6" fillId="7" borderId="0" xfId="0" applyFont="1" applyFill="1"/>
    <xf numFmtId="0" fontId="8" fillId="7" borderId="0" xfId="0" applyFont="1" applyFill="1"/>
    <xf numFmtId="10" fontId="6" fillId="0" borderId="0" xfId="0" applyNumberFormat="1" applyFont="1"/>
    <xf numFmtId="9" fontId="6" fillId="0" borderId="0" xfId="0" applyNumberFormat="1" applyFont="1"/>
    <xf numFmtId="167" fontId="21" fillId="5" borderId="0" xfId="0" applyNumberFormat="1" applyFont="1" applyFill="1"/>
    <xf numFmtId="164" fontId="21" fillId="5" borderId="0" xfId="0" applyNumberFormat="1" applyFont="1" applyFill="1"/>
    <xf numFmtId="9" fontId="8" fillId="0" borderId="0" xfId="1" applyFont="1" applyAlignment="1"/>
    <xf numFmtId="10" fontId="0" fillId="0" borderId="0" xfId="1" applyNumberFormat="1" applyFont="1" applyFill="1" applyAlignment="1"/>
    <xf numFmtId="10" fontId="5" fillId="0" borderId="0" xfId="1" applyNumberFormat="1" applyFont="1" applyFill="1" applyAlignment="1"/>
    <xf numFmtId="0" fontId="43" fillId="0" borderId="0" xfId="0" applyFont="1"/>
    <xf numFmtId="168" fontId="24" fillId="0" borderId="0" xfId="0" applyNumberFormat="1" applyFont="1"/>
    <xf numFmtId="171" fontId="24" fillId="0" borderId="0" xfId="0" applyNumberFormat="1" applyFont="1"/>
    <xf numFmtId="9" fontId="44" fillId="0" borderId="0" xfId="1" applyFont="1" applyFill="1" applyAlignment="1"/>
    <xf numFmtId="0" fontId="38" fillId="8" borderId="0" xfId="0" applyFont="1" applyFill="1"/>
    <xf numFmtId="9" fontId="42" fillId="8" borderId="0" xfId="1" applyFont="1" applyFill="1" applyAlignment="1"/>
    <xf numFmtId="168" fontId="39" fillId="8" borderId="0" xfId="0" applyNumberFormat="1" applyFont="1" applyFill="1"/>
    <xf numFmtId="0" fontId="49" fillId="20" borderId="0" xfId="0" quotePrefix="1" applyFont="1" applyFill="1"/>
    <xf numFmtId="0" fontId="47" fillId="8" borderId="0" xfId="0" applyFont="1" applyFill="1"/>
    <xf numFmtId="164" fontId="47" fillId="8" borderId="0" xfId="0" applyNumberFormat="1" applyFont="1" applyFill="1"/>
    <xf numFmtId="2" fontId="47" fillId="8" borderId="0" xfId="0" applyNumberFormat="1" applyFont="1" applyFill="1"/>
    <xf numFmtId="0" fontId="48" fillId="0" borderId="0" xfId="0" quotePrefix="1" applyFont="1"/>
    <xf numFmtId="0" fontId="26" fillId="8" borderId="0" xfId="0" applyFont="1" applyFill="1"/>
    <xf numFmtId="164" fontId="21" fillId="8" borderId="0" xfId="0" applyNumberFormat="1" applyFont="1" applyFill="1"/>
    <xf numFmtId="2" fontId="21" fillId="8" borderId="0" xfId="0" applyNumberFormat="1" applyFont="1" applyFill="1"/>
    <xf numFmtId="10" fontId="0" fillId="8" borderId="0" xfId="0" applyNumberFormat="1" applyFill="1"/>
    <xf numFmtId="0" fontId="0" fillId="0" borderId="0" xfId="0" pivotButton="1"/>
    <xf numFmtId="0" fontId="0" fillId="0" borderId="0" xfId="0" applyAlignment="1">
      <alignment horizontal="left"/>
    </xf>
  </cellXfs>
  <cellStyles count="2">
    <cellStyle name="Normal" xfId="0" builtinId="0"/>
    <cellStyle name="Per 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Users/dianadanilenko/Library/Containers/com.microsoft.Excel/Data/Documents/Users/dianadanilenko/Library/Containers/com.microsoft.Excel/Data/Documents/C:/Users/dianadanilenko/Downloads/Coding_Appliances_v7.xlsx?D02ED7B1" TargetMode="External"/><Relationship Id="rId1" Type="http://schemas.openxmlformats.org/officeDocument/2006/relationships/externalLinkPath" Target="file:///D02ED7B1/Coding_Appliances_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for variables"/>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Diana Danilenko" id="{30BB1996-8EFC-476E-8528-976729F6D7F5}" userId="5bdd78ed22bf5b4c" providerId="Windows Live"/>
  <person displayName="Hansteen, Sven" id="{4972B049-9CE6-AC49-9D28-FAEEEEB34A16}" userId="S::shansteen@rwi-essen.de::722ee81c-730f-49c5-b2e8-5ba9991bffdd" providerId="AD"/>
  <person displayName="Diana Danilenko" id="{07E012BB-865F-6142-9A86-EDCC0A8503F7}" userId="S::Diana.Danilenko@cmsa3.onmicrosoft.com::e115ff8c-f9a3-4954-929e-3e7023cc489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57.552441087966" createdVersion="8" refreshedVersion="8" minRefreshableVersion="3" recordCount="334" xr:uid="{D639B32B-9019-CA48-8E24-1BEF7DE87CE6}">
  <cacheSource type="worksheet">
    <worksheetSource ref="A1:CD1048576" sheet="Appliances"/>
  </cacheSource>
  <cacheFields count="92">
    <cacheField name="coder" numFmtId="0">
      <sharedItems containsBlank="1" count="6">
        <s v="DD"/>
        <s v="all"/>
        <s v="SH"/>
        <s v="LT"/>
        <s v="TK"/>
        <m/>
      </sharedItems>
    </cacheField>
    <cacheField name="study_ID_purchaseprobability" numFmtId="0">
      <sharedItems containsString="0" containsBlank="1" containsNumber="1" containsInteger="1" minValue="1" maxValue="30"/>
    </cacheField>
    <cacheField name="sr_no" numFmtId="0">
      <sharedItems containsBlank="1" containsMixedTypes="1" containsNumber="1" containsInteger="1" minValue="1001" maxValue="3050"/>
    </cacheField>
    <cacheField name="study_ID" numFmtId="0">
      <sharedItems containsBlank="1" containsMixedTypes="1" containsNumber="1" containsInteger="1" minValue="101" maxValue="407"/>
    </cacheField>
    <cacheField name="authors" numFmtId="0">
      <sharedItems containsBlank="1"/>
    </cacheField>
    <cacheField name="year_publication" numFmtId="0">
      <sharedItems containsString="0" containsBlank="1" containsNumber="1" containsInteger="1" minValue="1979" maxValue="2021"/>
    </cacheField>
    <cacheField name="doc_title" numFmtId="0">
      <sharedItems containsBlank="1"/>
    </cacheField>
    <cacheField name="abstract" numFmtId="0">
      <sharedItems containsBlank="1" longText="1"/>
    </cacheField>
    <cacheField name="study_type" numFmtId="0">
      <sharedItems containsString="0" containsBlank="1" containsNumber="1" containsInteger="1" minValue="1" maxValue="2"/>
    </cacheField>
    <cacheField name="year_data_study" numFmtId="0">
      <sharedItems containsBlank="1" containsMixedTypes="1" containsNumber="1" containsInteger="1" minValue="1982" maxValue="2020"/>
    </cacheField>
    <cacheField name="exclusion_reason" numFmtId="0">
      <sharedItems containsBlank="1" count="16">
        <s v="NA"/>
        <s v="dep_var"/>
        <s v="review"/>
        <s v="uncertainty / sample size missing"/>
        <s v="no clear uncertainty measure"/>
        <s v="No energy but water efficiency? (see notes_dep_var)"/>
        <s v="quality"/>
        <s v="stated preferences"/>
        <s v="case study"/>
        <s v="simulation"/>
        <s v="no appliance breakdown"/>
        <s v="intervention"/>
        <s v="stated preferences; there is no real intervention. They measure the effect of knowledge about policies and labels on the willingness to adopt efficient lighting"/>
        <s v="no clear uncertainty measure / household level use"/>
        <s v="Standard errors, implied t-statistics and p-values do not match. There must be something wrong"/>
        <m/>
      </sharedItems>
    </cacheField>
    <cacheField name="page" numFmtId="0">
      <sharedItems containsBlank="1" containsMixedTypes="1" containsNumber="1" containsInteger="1" minValue="4" maxValue="3571"/>
    </cacheField>
    <cacheField name="statistical_technique" numFmtId="0">
      <sharedItems containsBlank="1" count="28">
        <s v="linear probability model"/>
        <s v="weighted least squares"/>
        <s v="ITT"/>
        <s v="diff of means"/>
        <s v="OLS"/>
        <s v="logit"/>
        <m/>
        <s v="VAR"/>
        <s v="negative binomial count model"/>
        <s v="IV"/>
        <s v="2SLS"/>
        <s v="negative binomial regression"/>
        <s v="probit"/>
        <s v="ANOVA"/>
        <s v="mixed logit"/>
        <s v="nested logit"/>
        <s v="tobit"/>
        <s v="descriptive statistics"/>
        <s v="multinomial logit"/>
        <s v="synthetic control method"/>
        <s v="OLS - FE"/>
        <s v="OLS - RE"/>
        <s v="coarsened exact matching"/>
        <s v="ordered probit"/>
        <s v="ordinal logit"/>
        <s v="structural model"/>
        <s v="random parameter logit"/>
        <s v="conditional logit"/>
      </sharedItems>
    </cacheField>
    <cacheField name="study_design" numFmtId="0">
      <sharedItems containsBlank="1" count="8">
        <s v="pre and post"/>
        <s v="diff-in-diff"/>
        <s v="control &amp; treatment"/>
        <s v="quasi-experimental"/>
        <m/>
        <s v="correlation"/>
        <s v="Diff in Diff"/>
        <s v="choice experiment"/>
      </sharedItems>
    </cacheField>
    <cacheField name="country" numFmtId="0">
      <sharedItems containsBlank="1" count="36">
        <s v="Italy"/>
        <s v="US"/>
        <s v="Canada"/>
        <s v="Germany"/>
        <s v="Ghana"/>
        <m/>
        <s v="Denmark"/>
        <s v="Ireland"/>
        <s v="Pakistan"/>
        <s v="Mexico"/>
        <s v="UK"/>
        <s v="Spain"/>
        <s v="Australia, Canada, Chile, France, Israel, Korea, Japan, Netherlands, Spain, Sweden, Switzerland"/>
        <s v="China"/>
        <s v="Kenya"/>
        <s v="Nigeria"/>
        <s v="Japan"/>
        <s v="Lebanon"/>
        <s v="South Africa"/>
        <s v="India"/>
        <s v="South Korea"/>
        <s v="Norway"/>
        <s v="Singapore"/>
        <s v="France, Slovenia, Szech Republic, Portugal "/>
        <s v="Malaysia"/>
        <s v="Brazil"/>
        <s v="Indonesia"/>
        <s v="France, Germany, Italy, Portugal, Spain"/>
        <s v="Portugal"/>
        <s v="France"/>
        <s v="Australia"/>
        <s v="Switzerland"/>
        <s v="Poland"/>
        <s v="Romania"/>
        <s v="Sweden"/>
        <s v="Greece"/>
      </sharedItems>
    </cacheField>
    <cacheField name="incentive_follow_through" numFmtId="0">
      <sharedItems containsBlank="1"/>
    </cacheField>
    <cacheField name="experimental_setting" numFmtId="0">
      <sharedItems containsBlank="1"/>
    </cacheField>
    <cacheField name="participant_type" numFmtId="0">
      <sharedItems containsBlank="1"/>
    </cacheField>
    <cacheField name="aware_of_study" numFmtId="0">
      <sharedItems containsBlank="1" containsMixedTypes="1" containsNumber="1" containsInteger="1" minValue="0" maxValue="1"/>
    </cacheField>
    <cacheField name="opt_in" numFmtId="0">
      <sharedItems containsBlank="1"/>
    </cacheField>
    <cacheField name="randomisation_dummy" numFmtId="0">
      <sharedItems containsBlank="1" containsMixedTypes="1" containsNumber="1" containsInteger="1" minValue="0" maxValue="1"/>
    </cacheField>
    <cacheField name="outOfSampleBias" numFmtId="0">
      <sharedItems containsBlank="1"/>
    </cacheField>
    <cacheField name="reportingBiases" numFmtId="0">
      <sharedItems containsBlank="1"/>
    </cacheField>
    <cacheField name="notes_bias" numFmtId="0">
      <sharedItems containsBlank="1" longText="1"/>
    </cacheField>
    <cacheField name="feedback" numFmtId="0">
      <sharedItems containsString="0" containsBlank="1" containsNumber="1" containsInteger="1" minValue="0" maxValue="1"/>
    </cacheField>
    <cacheField name="information" numFmtId="0">
      <sharedItems containsString="0" containsBlank="1" containsNumber="1" containsInteger="1" minValue="0" maxValue="1"/>
    </cacheField>
    <cacheField name="label" numFmtId="0">
      <sharedItems containsString="0" containsBlank="1" containsNumber="1" containsInteger="1" minValue="0" maxValue="1"/>
    </cacheField>
    <cacheField name="rebate" numFmtId="0">
      <sharedItems containsString="0" containsBlank="1" containsNumber="1" containsInteger="1" minValue="0" maxValue="1"/>
    </cacheField>
    <cacheField name="tax_credit" numFmtId="0">
      <sharedItems containsString="0" containsBlank="1" containsNumber="1" containsInteger="1" minValue="0" maxValue="1"/>
    </cacheField>
    <cacheField name="subsidy" numFmtId="0">
      <sharedItems containsString="0" containsBlank="1" containsNumber="1" containsInteger="1" minValue="0" maxValue="1"/>
    </cacheField>
    <cacheField name="loan" numFmtId="0">
      <sharedItems containsString="0" containsBlank="1" containsNumber="1" containsInteger="1" minValue="0" maxValue="1"/>
    </cacheField>
    <cacheField name="choice_architecture" numFmtId="0">
      <sharedItems containsString="0" containsBlank="1" containsNumber="1" containsInteger="1" minValue="0" maxValue="1"/>
    </cacheField>
    <cacheField name="notes_intervention" numFmtId="0">
      <sharedItems containsBlank="1"/>
    </cacheField>
    <cacheField name="washing_machine" numFmtId="0">
      <sharedItems containsString="0" containsBlank="1" containsNumber="1" containsInteger="1" minValue="0" maxValue="1"/>
    </cacheField>
    <cacheField name="clothes_dryer" numFmtId="0">
      <sharedItems containsString="0" containsBlank="1" containsNumber="1" containsInteger="1" minValue="0" maxValue="1"/>
    </cacheField>
    <cacheField name="diswasher" numFmtId="0">
      <sharedItems containsString="0" containsBlank="1" containsNumber="1" containsInteger="1" minValue="0" maxValue="1"/>
    </cacheField>
    <cacheField name="refrigerator" numFmtId="0">
      <sharedItems containsString="0" containsBlank="1" containsNumber="1" containsInteger="1" minValue="0" maxValue="1"/>
    </cacheField>
    <cacheField name="heat_pump" numFmtId="0">
      <sharedItems containsString="0" containsBlank="1" containsNumber="1" containsInteger="1" minValue="0" maxValue="1"/>
    </cacheField>
    <cacheField name="lighting" numFmtId="0">
      <sharedItems containsString="0" containsBlank="1" containsNumber="1" containsInteger="1" minValue="0" maxValue="1"/>
    </cacheField>
    <cacheField name="water_heater" numFmtId="0">
      <sharedItems containsString="0" containsBlank="1" containsNumber="1" containsInteger="1" minValue="0" maxValue="1"/>
    </cacheField>
    <cacheField name="ac" numFmtId="0">
      <sharedItems containsString="0" containsBlank="1" containsNumber="1" containsInteger="1" minValue="0" maxValue="1"/>
    </cacheField>
    <cacheField name="tv" numFmtId="0">
      <sharedItems containsString="0" containsBlank="1" containsNumber="1" containsInteger="1" minValue="0" maxValue="1"/>
    </cacheField>
    <cacheField name="notes_dep_var" numFmtId="0">
      <sharedItems containsBlank="1"/>
    </cacheField>
    <cacheField name="dep_variable_purchase_category" numFmtId="0">
      <sharedItems containsBlank="1" count="5">
        <s v="purschase (probability) of efficient appliance"/>
        <s v="energy use after switching to a more efficient appliance"/>
        <s v="WTP for efficient appliance"/>
        <m/>
        <s v="market share of efficient appliance"/>
      </sharedItems>
    </cacheField>
    <cacheField name="dep_var_original_study" numFmtId="0">
      <sharedItems containsBlank="1"/>
    </cacheField>
    <cacheField name="dep_var_transformation" numFmtId="0">
      <sharedItems containsBlank="1"/>
    </cacheField>
    <cacheField name="coefficient " numFmtId="0">
      <sharedItems containsBlank="1" containsMixedTypes="1" containsNumber="1" minValue="0" maxValue="3586.4569999999999"/>
    </cacheField>
    <cacheField name="effect_direction" numFmtId="0">
      <sharedItems containsBlank="1"/>
    </cacheField>
    <cacheField name="coefficient_se" numFmtId="0">
      <sharedItems containsBlank="1" containsMixedTypes="1" containsNumber="1" minValue="4.0000000000000002E-4" maxValue="2082.6759999999999"/>
    </cacheField>
    <cacheField name="p_value" numFmtId="0">
      <sharedItems containsBlank="1" containsMixedTypes="1" containsNumber="1" minValue="0" maxValue="0.99199999999999999"/>
    </cacheField>
    <cacheField name="significance_bound" numFmtId="0">
      <sharedItems containsBlank="1" containsMixedTypes="1" containsNumber="1" containsInteger="1" minValue="1" maxValue="3"/>
    </cacheField>
    <cacheField name="t_stat" numFmtId="0">
      <sharedItems containsBlank="1" containsMixedTypes="1" containsNumber="1" minValue="0" maxValue="960"/>
    </cacheField>
    <cacheField name="percent_change" numFmtId="0">
      <sharedItems containsBlank="1" containsMixedTypes="1" containsNumber="1" minValue="0" maxValue="796.11582942023051"/>
    </cacheField>
    <cacheField name="percent_change(binary predictor)" numFmtId="0">
      <sharedItems containsBlank="1" containsMixedTypes="1" containsNumber="1" minValue="0.5" maxValue="0.9758729785823308"/>
    </cacheField>
    <cacheField name="control_mean" numFmtId="0">
      <sharedItems containsBlank="1" containsMixedTypes="1" containsNumber="1" minValue="0.27" maxValue="959"/>
    </cacheField>
    <cacheField name="control_sample_size" numFmtId="0">
      <sharedItems containsBlank="1" containsMixedTypes="1" containsNumber="1" containsInteger="1" minValue="3" maxValue="13471"/>
    </cacheField>
    <cacheField name="control_sd" numFmtId="0">
      <sharedItems containsBlank="1" containsMixedTypes="1" containsNumber="1" minValue="2.1" maxValue="7.5"/>
    </cacheField>
    <cacheField name="treated_mean" numFmtId="0">
      <sharedItems containsBlank="1" containsMixedTypes="1" containsNumber="1" minValue="0.5" maxValue="8593"/>
    </cacheField>
    <cacheField name="treatment_sample_size" numFmtId="0">
      <sharedItems containsBlank="1" containsMixedTypes="1" containsNumber="1" minValue="1" maxValue="5672"/>
    </cacheField>
    <cacheField name="treated_sd" numFmtId="0">
      <sharedItems containsBlank="1" containsMixedTypes="1" containsNumber="1" minValue="0" maxValue="6.2"/>
    </cacheField>
    <cacheField name="total_sample_size" numFmtId="0">
      <sharedItems containsBlank="1" containsMixedTypes="1" containsNumber="1" containsInteger="1" minValue="1" maxValue="957080"/>
    </cacheField>
    <cacheField name="total_observations" numFmtId="0">
      <sharedItems containsBlank="1" containsMixedTypes="1" containsNumber="1" containsInteger="1" minValue="1" maxValue="957080"/>
    </cacheField>
    <cacheField name="diff_mean" numFmtId="0">
      <sharedItems containsBlank="1" containsMixedTypes="1" containsNumber="1" minValue="0" maxValue="8352"/>
    </cacheField>
    <cacheField name="pooled_sd" numFmtId="0">
      <sharedItems containsBlank="1"/>
    </cacheField>
    <cacheField name="monetary_incentive_size" numFmtId="0">
      <sharedItems containsBlank="1" containsMixedTypes="1" containsNumber="1" minValue="0" maxValue="10000"/>
    </cacheField>
    <cacheField name="monetary_incentive_relative" numFmtId="0">
      <sharedItems containsBlank="1" containsMixedTypes="1" containsNumber="1" minValue="0" maxValue="1"/>
    </cacheField>
    <cacheField name="monetary_incentive_timeframe" numFmtId="0">
      <sharedItems containsBlank="1"/>
    </cacheField>
    <cacheField name="label_monetary" numFmtId="0">
      <sharedItems containsBlank="1" containsMixedTypes="1" containsNumber="1" containsInteger="1" minValue="0" maxValue="1"/>
    </cacheField>
    <cacheField name="label_monetary_size" numFmtId="0">
      <sharedItems containsBlank="1" containsMixedTypes="1" containsNumber="1" minValue="0" maxValue="486"/>
    </cacheField>
    <cacheField name="label_consumption" numFmtId="0">
      <sharedItems containsBlank="1" containsMixedTypes="1" containsNumber="1" containsInteger="1" minValue="0" maxValue="1"/>
    </cacheField>
    <cacheField name="label_consumption_size" numFmtId="0">
      <sharedItems containsBlank="1" containsMixedTypes="1" containsNumber="1" minValue="0" maxValue="2560"/>
    </cacheField>
    <cacheField name="label_scale" numFmtId="0">
      <sharedItems containsBlank="1" containsMixedTypes="1" containsNumber="1" minValue="3.8627414089036701E-4" maxValue="3.8627414089036701E-4"/>
    </cacheField>
    <cacheField name="controls energy prices" numFmtId="0">
      <sharedItems containsString="0" containsBlank="1" containsNumber="1" containsInteger="1" minValue="0" maxValue="1"/>
    </cacheField>
    <cacheField name="controls environmental attitudes" numFmtId="0">
      <sharedItems containsString="0" containsBlank="1" containsNumber="1" containsInteger="1" minValue="0" maxValue="1"/>
    </cacheField>
    <cacheField name="controls demographics" numFmtId="0">
      <sharedItems containsString="0" containsBlank="1" containsNumber="1" containsInteger="1" minValue="0" maxValue="1"/>
    </cacheField>
    <cacheField name="r_effect_size_sample" numFmtId="0">
      <sharedItems containsString="0" containsBlank="1" containsNumber="1" containsInteger="1" minValue="0" maxValue="0"/>
    </cacheField>
    <cacheField name="r_effect_size_obsversation" numFmtId="0">
      <sharedItems containsString="0" containsBlank="1" containsNumber="1" containsInteger="1" minValue="1" maxValue="1"/>
    </cacheField>
    <cacheField name="z_value" numFmtId="0">
      <sharedItems containsNonDate="0" containsString="0" containsBlank="1"/>
    </cacheField>
    <cacheField name="r_variance" numFmtId="0">
      <sharedItems containsNonDate="0" containsString="0" containsBlank="1"/>
    </cacheField>
    <cacheField name="z_variance" numFmtId="0">
      <sharedItems containsNonDate="0" containsString="0" containsBlank="1"/>
    </cacheField>
    <cacheField name="d_value" numFmtId="0">
      <sharedItems containsNonDate="0" containsString="0" containsBlank="1"/>
    </cacheField>
    <cacheField name="z_value_sample" numFmtId="0">
      <sharedItems containsNonDate="0" containsString="0" containsBlank="1"/>
    </cacheField>
    <cacheField name="z_variance_sample" numFmtId="0">
      <sharedItems containsNonDate="0" containsString="0" containsBlank="1"/>
    </cacheField>
    <cacheField name="Significance from Original Study" numFmtId="0">
      <sharedItems containsNonDate="0" containsString="0" containsBlank="1"/>
    </cacheField>
    <cacheField name="Did intervention have desired effect (positive/decrease)" numFmtId="0">
      <sharedItems containsNonDate="0" containsString="0" containsBlank="1"/>
    </cacheField>
    <cacheField name="r_effect_size_sample2" numFmtId="0">
      <sharedItems containsBlank="1" containsMixedTypes="1" containsNumber="1" minValue="0" maxValue="0.99999997132859308"/>
    </cacheField>
    <cacheField name="z_value2" numFmtId="0">
      <sharedItems containsBlank="1" containsMixedTypes="1" containsNumber="1" minValue="0" maxValue="9.0302563258721591"/>
    </cacheField>
    <cacheField name="r_variance2" numFmtId="0">
      <sharedItems containsBlank="1" containsMixedTypes="1" containsNumber="1" minValue="-1329.7346701207366" maxValue="2.822476458784471E-2"/>
    </cacheField>
    <cacheField name="z_variance2" numFmtId="0">
      <sharedItems containsBlank="1" containsMixedTypes="1" containsNumber="1" minValue="1.0448480111840532E-6" maxValue="0.33333333333333331"/>
    </cacheField>
    <cacheField name="d_value2" numFmtId="0">
      <sharedItems containsBlank="1" containsMixedTypes="1" containsNumber="1" minValue="0" maxValue="8352"/>
    </cacheField>
    <cacheField name="df" numFmtId="0">
      <sharedItems containsString="0" containsBlank="1" containsNumber="1" containsInteger="1" minValue="4" maxValue="81094"/>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1.6000000000000001E-4"/>
    <s v="decrease"/>
    <n v="1.4545454545454547E-3"/>
    <s v="NA"/>
    <n v="3"/>
    <n v="0.11"/>
    <n v="1.6001280068267398E-4"/>
    <n v="0.50003999999991466"/>
    <s v="NA"/>
    <s v="NA"/>
    <s v="NA"/>
    <s v="NA"/>
    <s v="NA"/>
    <s v="NA"/>
    <n v="81095"/>
    <n v="81095"/>
    <s v="NA"/>
    <s v="NA"/>
    <s v="NA"/>
    <n v="0.55000000000000004"/>
    <s v="delayed"/>
    <n v="0"/>
    <n v="0"/>
    <n v="1"/>
    <n v="3.8627412167859866E-4"/>
    <n v="3.8627414089036701E-4"/>
    <n v="0"/>
    <n v="0"/>
    <n v="1"/>
    <m/>
    <m/>
    <m/>
    <m/>
    <m/>
    <m/>
    <m/>
    <m/>
    <m/>
    <m/>
    <n v="3.8627412167859866E-4"/>
    <n v="3.8627414089036701E-4"/>
    <n v="1.233136853527977E-5"/>
    <n v="1.2331672668080699E-5"/>
    <s v="NA"/>
    <n v="81094"/>
    <s v="NA"/>
  </r>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3.8500000000000001E-3"/>
    <s v="decrease"/>
    <n v="2.3765432098765433E-3"/>
    <s v="NA"/>
    <n v="3"/>
    <n v="1.62"/>
    <n v="3.8574207702657404E-3"/>
    <n v="0.50096249881111377"/>
    <s v="NA"/>
    <s v="NA"/>
    <s v="NA"/>
    <s v="NA"/>
    <s v="NA"/>
    <s v="NA"/>
    <n v="81095"/>
    <n v="81095"/>
    <s v="NA"/>
    <s v="NA"/>
    <s v="NA"/>
    <n v="0.55000000000000004"/>
    <s v="delayed"/>
    <s v="NA"/>
    <s v="NA"/>
    <s v="NA"/>
    <s v="NA"/>
    <s v="NA"/>
    <n v="0"/>
    <n v="0"/>
    <n v="1"/>
    <m/>
    <m/>
    <m/>
    <m/>
    <m/>
    <m/>
    <m/>
    <m/>
    <m/>
    <m/>
    <n v="5.6886727140571178E-3"/>
    <n v="5.688734078955906E-3"/>
    <n v="1.2331368522365657E-5"/>
    <n v="1.2331672668080699E-5"/>
    <s v="NA"/>
    <n v="81094"/>
    <s v="NA"/>
  </r>
  <r>
    <x v="0"/>
    <m/>
    <n v="1290"/>
    <n v="148"/>
    <s v="Alberini, Gans, Towe"/>
    <n v="2016"/>
    <s v="Free Riding, Upsizing, and Energy Efﬁciency Incentives in Maryland Homes"/>
    <s v="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
    <n v="1"/>
    <n v="2011"/>
    <x v="0"/>
    <n v="280"/>
    <x v="0"/>
    <x v="1"/>
    <x v="1"/>
    <s v="revealed preference"/>
    <s v="household"/>
    <s v="homeowners"/>
    <n v="0"/>
    <s v="opt_in"/>
    <n v="0"/>
    <s v="probably yes"/>
    <s v="probably no"/>
    <s v="Our sampling frame is a mix of stratified and choice-based sampling (see table 1), which means that it is necessary to calculate and use appropriate weights when extrapolating sample statistics to the population."/>
    <n v="0"/>
    <n v="0"/>
    <n v="0"/>
    <n v="1"/>
    <n v="0"/>
    <n v="0"/>
    <n v="0"/>
    <n v="0"/>
    <s v="NA"/>
    <n v="0"/>
    <n v="0"/>
    <n v="0"/>
    <n v="0"/>
    <n v="1"/>
    <n v="0"/>
    <n v="0"/>
    <n v="0"/>
    <n v="0"/>
    <s v="the percentage change in energy use that occurs when a heat pump is replaced with a_x000a_new, more efficient one"/>
    <x v="1"/>
    <s v="energy consumption (monthly)"/>
    <s v="log scale"/>
    <n v="3.5900000000000001E-2"/>
    <s v="decrease"/>
    <n v="3.5544554455445548E-2"/>
    <s v="NA"/>
    <n v="3"/>
    <n v="1.01"/>
    <n v="0.08"/>
    <m/>
    <s v="NA"/>
    <s v="NA"/>
    <s v="NA"/>
    <s v="NA"/>
    <s v="NA"/>
    <s v="NA"/>
    <n v="1153"/>
    <n v="13923"/>
    <s v="NA"/>
    <s v="NA"/>
    <s v="200 to 500$"/>
    <s v="NA"/>
    <s v="delayed"/>
    <s v="NA"/>
    <s v="NA"/>
    <s v="NA"/>
    <s v="NA"/>
    <s v="NA"/>
    <n v="1"/>
    <n v="1"/>
    <n v="1"/>
    <m/>
    <m/>
    <m/>
    <m/>
    <m/>
    <m/>
    <m/>
    <m/>
    <m/>
    <m/>
    <n v="2.9731353950735877E-2"/>
    <n v="2.9740118977144511E-2"/>
    <n v="8.6805487647964076E-4"/>
    <n v="8.6956521739130438E-4"/>
    <m/>
    <m/>
    <m/>
  </r>
  <r>
    <x v="0"/>
    <m/>
    <n v="1159"/>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NA"/>
    <x v="1"/>
    <s v="ln electricity use"/>
    <s v="log scale"/>
    <n v="2.7799999999999998E-2"/>
    <s v="decrease"/>
    <n v="1.3627450980392156E-2"/>
    <n v="2.0687000000000001E-2"/>
    <n v="3"/>
    <n v="2.04"/>
    <n v="2.8190025851083211E-2"/>
    <m/>
    <s v="NA"/>
    <n v="10676"/>
    <s v="NA"/>
    <s v="NA"/>
    <n v="378"/>
    <s v="NA"/>
    <n v="11054"/>
    <n v="108387"/>
    <s v="NA"/>
    <s v="NA"/>
    <s v="from 200 to 400"/>
    <n v="0.1"/>
    <s v="current "/>
    <s v="NA"/>
    <s v="NA"/>
    <s v="NA"/>
    <s v="NA"/>
    <s v="NA"/>
    <n v="0"/>
    <n v="0"/>
    <n v="1"/>
    <m/>
    <m/>
    <m/>
    <m/>
    <m/>
    <m/>
    <m/>
    <m/>
    <m/>
    <m/>
    <n v="1.9399418017388252E-2"/>
    <n v="1.9401852142681517E-2"/>
    <n v="9.0473161883565525E-5"/>
    <n v="9.0489548457153195E-5"/>
    <m/>
    <m/>
    <m/>
  </r>
  <r>
    <x v="0"/>
    <m/>
    <n v="1160"/>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with CEM"/>
    <x v="1"/>
    <s v="ln electricity use"/>
    <s v="log scale"/>
    <n v="5.4399999999999997E-2"/>
    <s v="decrease"/>
    <n v="1.4986225895316804E-2"/>
    <n v="1.4200000000000001E-4"/>
    <n v="3"/>
    <n v="3.63"/>
    <n v="5.590688044596992E-2"/>
    <m/>
    <s v="NA"/>
    <n v="10676"/>
    <s v="NA"/>
    <s v="NA"/>
    <n v="378"/>
    <s v="NA"/>
    <n v="11054"/>
    <n v="37511"/>
    <s v="NA"/>
    <s v="NA"/>
    <s v="from 200 to 400"/>
    <n v="0.1"/>
    <s v="current "/>
    <s v="NA"/>
    <s v="NA"/>
    <s v="NA"/>
    <s v="NA"/>
    <s v="NA"/>
    <n v="0"/>
    <n v="0"/>
    <n v="1"/>
    <m/>
    <m/>
    <m/>
    <m/>
    <m/>
    <m/>
    <m/>
    <m/>
    <m/>
    <m/>
    <n v="3.4505490005142594E-2"/>
    <n v="3.4519194206964816E-2"/>
    <n v="9.0473046245324396E-5"/>
    <n v="9.0489548457153195E-5"/>
    <m/>
    <m/>
    <m/>
  </r>
  <r>
    <x v="0"/>
    <m/>
    <n v="1161"/>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NA"/>
    <x v="1"/>
    <s v="ln electricity use"/>
    <s v="log scale"/>
    <n v="5.4600000000000003E-2"/>
    <s v="decrease"/>
    <n v="1.7333333333333336E-2"/>
    <n v="8.1899999999999996E-4"/>
    <n v="3"/>
    <n v="3.15"/>
    <n v="5.6118082941604586E-2"/>
    <m/>
    <s v="NA"/>
    <n v="10676"/>
    <s v="NA"/>
    <s v="NA"/>
    <n v="430"/>
    <s v="NA"/>
    <n v="11106"/>
    <n v="68754"/>
    <s v="NA"/>
    <s v="NA"/>
    <s v="from 200 to 400"/>
    <n v="0.1"/>
    <s v="current "/>
    <s v="NA"/>
    <s v="NA"/>
    <s v="NA"/>
    <s v="NA"/>
    <s v="NA"/>
    <n v="0"/>
    <n v="0"/>
    <n v="1"/>
    <m/>
    <m/>
    <m/>
    <m/>
    <m/>
    <m/>
    <m/>
    <m/>
    <m/>
    <m/>
    <n v="2.9877055832671907E-2"/>
    <n v="2.9885950400025899E-2"/>
    <n v="9.0049455402728065E-5"/>
    <n v="9.0065747996037111E-5"/>
    <m/>
    <m/>
    <m/>
  </r>
  <r>
    <x v="0"/>
    <m/>
    <n v="1162"/>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with CEM"/>
    <x v="1"/>
    <s v="ln electricity use"/>
    <s v="log scale"/>
    <n v="4.19E-2"/>
    <s v="decrease"/>
    <n v="1.682730923694779E-2"/>
    <n v="6.3940000000000004E-3"/>
    <n v="3"/>
    <n v="2.4900000000000002"/>
    <n v="4.2790194517186686E-2"/>
    <m/>
    <s v="NA"/>
    <n v="10676"/>
    <s v="NA"/>
    <s v="NA"/>
    <n v="430"/>
    <s v="NA"/>
    <n v="11106"/>
    <n v="33268"/>
    <s v="NA"/>
    <s v="NA"/>
    <s v="from 200 to 400"/>
    <n v="0.1"/>
    <s v="current "/>
    <s v="NA"/>
    <s v="NA"/>
    <s v="NA"/>
    <s v="NA"/>
    <s v="NA"/>
    <n v="0"/>
    <n v="0"/>
    <n v="1"/>
    <m/>
    <m/>
    <m/>
    <m/>
    <m/>
    <m/>
    <m/>
    <m/>
    <m/>
    <m/>
    <n v="2.3621056611749961E-2"/>
    <n v="2.3625451239868967E-2"/>
    <n v="9.0049499185523786E-5"/>
    <n v="9.0065747996037111E-5"/>
    <m/>
    <m/>
    <m/>
  </r>
  <r>
    <x v="1"/>
    <n v="2"/>
    <n v="1003"/>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1"/>
    <n v="0"/>
    <n v="0"/>
    <n v="0"/>
    <n v="0"/>
    <n v="0"/>
    <n v="0"/>
    <s v="focus on phase 1 as there the effect is separated from agent incentivisation"/>
    <n v="0"/>
    <n v="0"/>
    <n v="0"/>
    <n v="0"/>
    <n v="0"/>
    <n v="0"/>
    <n v="1"/>
    <n v="0"/>
    <n v="0"/>
    <s v="NA"/>
    <x v="0"/>
    <s v="whether the consumer purchases an Energy Star model"/>
    <s v="dummy (0/1)"/>
    <n v="0"/>
    <s v="increase"/>
    <n v="2E-3"/>
    <n v="0.1"/>
    <n v="2"/>
    <n v="0"/>
    <n v="0"/>
    <n v="0.5"/>
    <s v="NA"/>
    <s v="NA"/>
    <s v="NA"/>
    <s v="NA"/>
    <n v="2525.8000000000002"/>
    <s v="NA"/>
    <n v="23347"/>
    <n v="23347"/>
    <s v="NA"/>
    <s v="NA"/>
    <s v="NA"/>
    <s v="NA"/>
    <s v="NA"/>
    <s v="NA"/>
    <s v="NA"/>
    <s v="NA"/>
    <s v="NA"/>
    <s v="NA"/>
    <n v="0"/>
    <n v="1"/>
    <n v="1"/>
    <m/>
    <m/>
    <m/>
    <m/>
    <m/>
    <m/>
    <m/>
    <m/>
    <m/>
    <m/>
    <n v="0"/>
    <n v="0"/>
    <n v="4.2833890173905597E-5"/>
    <n v="4.2837559972583965E-5"/>
    <s v="NA"/>
    <n v="23345"/>
    <s v="NA"/>
  </r>
  <r>
    <x v="1"/>
    <n v="2"/>
    <n v="1002"/>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1E-3"/>
    <s v="increase"/>
    <n v="1E-3"/>
    <n v="0.1"/>
    <n v="2"/>
    <n v="1"/>
    <n v="1.0005001667083846E-3"/>
    <n v="0.50024999997916664"/>
    <s v="NA"/>
    <s v="NA"/>
    <s v="NA"/>
    <s v="NA"/>
    <n v="2525.8000000000002"/>
    <s v="NA"/>
    <n v="23347"/>
    <n v="23347"/>
    <s v="NA"/>
    <s v="NA"/>
    <n v="25"/>
    <s v="NA"/>
    <s v="current "/>
    <s v="NA"/>
    <s v="NA"/>
    <s v="NA"/>
    <s v="NA"/>
    <s v="NA"/>
    <n v="0"/>
    <n v="1"/>
    <n v="1"/>
    <m/>
    <m/>
    <m/>
    <m/>
    <m/>
    <m/>
    <m/>
    <m/>
    <m/>
    <m/>
    <n v="6.5444801935631517E-3"/>
    <n v="6.5445736298086485E-3"/>
    <n v="4.2833890095325423E-5"/>
    <n v="4.2837559972583965E-5"/>
    <s v="NA"/>
    <n v="23345"/>
    <s v="NA"/>
  </r>
  <r>
    <x v="1"/>
    <n v="2"/>
    <n v="1001"/>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6.0000000000000001E-3"/>
    <s v="increase"/>
    <n v="3.0000000000000001E-3"/>
    <n v="0.05"/>
    <n v="1"/>
    <n v="2"/>
    <n v="6.0180360540649236E-3"/>
    <n v="0.50149999550001623"/>
    <s v="NA"/>
    <s v="NA"/>
    <s v="NA"/>
    <s v="NA"/>
    <n v="2525.8000000000002"/>
    <s v="NA"/>
    <n v="23347"/>
    <n v="23347"/>
    <s v="NA"/>
    <s v="NA"/>
    <n v="100"/>
    <s v="NA"/>
    <s v="current "/>
    <s v="NA"/>
    <s v="NA"/>
    <s v="NA"/>
    <s v="NA"/>
    <s v="NA"/>
    <n v="0"/>
    <n v="1"/>
    <n v="1"/>
    <m/>
    <m/>
    <m/>
    <m/>
    <m/>
    <m/>
    <m/>
    <m/>
    <m/>
    <m/>
    <n v="1.308811956355478E-2"/>
    <n v="1.3088866967087377E-2"/>
    <n v="4.2833888916730603E-5"/>
    <n v="4.2837559972583965E-5"/>
    <s v="NA"/>
    <n v="23345"/>
    <s v="NA"/>
  </r>
  <r>
    <x v="0"/>
    <n v="3"/>
    <n v="1087"/>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0"/>
    <n v="0"/>
    <n v="0"/>
    <n v="0"/>
    <n v="0"/>
    <s v="NA"/>
    <n v="0"/>
    <n v="0"/>
    <n v="0"/>
    <n v="0"/>
    <n v="0"/>
    <n v="1"/>
    <n v="0"/>
    <n v="0"/>
    <n v="0"/>
    <s v="NA"/>
    <x v="0"/>
    <s v="purchased CFL"/>
    <s v="dummy (0/1)"/>
    <n v="4.0000000000000001E-3"/>
    <s v="increase"/>
    <n v="3.3000000000000002E-2"/>
    <n v="0.1"/>
    <n v="2"/>
    <n v="0.12121212121212122"/>
    <n v="4.0080106773419111E-3"/>
    <n v="0.50099999866666878"/>
    <s v="NA"/>
    <s v="NA"/>
    <s v="NA"/>
    <s v="NA"/>
    <s v="NA"/>
    <s v="NA"/>
    <n v="1087"/>
    <n v="1087"/>
    <s v="NA"/>
    <s v="NA"/>
    <s v="NA"/>
    <s v="NA"/>
    <s v="NA"/>
    <s v="NA"/>
    <s v="NA"/>
    <s v="NA"/>
    <s v="NA"/>
    <s v="NA"/>
    <n v="0"/>
    <n v="0"/>
    <n v="1"/>
    <m/>
    <m/>
    <m/>
    <m/>
    <m/>
    <m/>
    <m/>
    <m/>
    <m/>
    <m/>
    <n v="3.6764472949663419E-3"/>
    <n v="3.6764638590456372E-3"/>
    <n v="9.2081031290728113E-4"/>
    <n v="9.225092250922509E-4"/>
    <s v="NA"/>
    <n v="1085"/>
    <s v="NA"/>
  </r>
  <r>
    <x v="0"/>
    <n v="3"/>
    <n v="1086"/>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8.0000000000000002E-3"/>
    <s v="decrease"/>
    <n v="2.7E-2"/>
    <n v="0.1"/>
    <n v="2"/>
    <n v="0.29629629629629628"/>
    <s v="NA"/>
    <m/>
    <s v="NA"/>
    <n v="294"/>
    <s v="NA"/>
    <s v="NA"/>
    <n v="793"/>
    <s v="NA"/>
    <n v="1087"/>
    <n v="1087"/>
    <n v="8.0000000000000002E-3"/>
    <s v="NA"/>
    <s v="NA"/>
    <s v="NA"/>
    <s v="NA"/>
    <s v="NA"/>
    <s v="NA"/>
    <s v="NA"/>
    <s v="NA"/>
    <s v="NA"/>
    <n v="0"/>
    <n v="0"/>
    <n v="1"/>
    <m/>
    <m/>
    <m/>
    <m/>
    <m/>
    <m/>
    <m/>
    <m/>
    <m/>
    <m/>
    <n v="0.14654866108946232"/>
    <n v="0.14761150876627599"/>
    <n v="9.2037314237067909E-4"/>
    <n v="9.225092250922509E-4"/>
    <n v="0.29629629629629628"/>
    <n v="1085"/>
    <s v="NA"/>
  </r>
  <r>
    <x v="0"/>
    <n v="3"/>
    <n v="1085"/>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1.0999999999999999E-2"/>
    <s v="increase"/>
    <n v="2.5000000000000001E-2"/>
    <n v="0.1"/>
    <n v="2"/>
    <n v="0.43999999999999995"/>
    <s v="NA"/>
    <m/>
    <s v="NA"/>
    <n v="294"/>
    <s v="NA"/>
    <s v="NA"/>
    <n v="793"/>
    <s v="NA"/>
    <n v="1087"/>
    <n v="1087"/>
    <n v="1.0999999999999999E-2"/>
    <s v="NA"/>
    <s v="NA"/>
    <s v="NA"/>
    <s v="NA"/>
    <s v="NA"/>
    <s v="NA"/>
    <s v="NA"/>
    <s v="NA"/>
    <s v="NA"/>
    <n v="0"/>
    <n v="0"/>
    <n v="1"/>
    <m/>
    <m/>
    <m/>
    <m/>
    <m/>
    <m/>
    <m/>
    <m/>
    <m/>
    <m/>
    <n v="0.21486178267511974"/>
    <n v="0.21826290743988225"/>
    <n v="9.1872058431916861E-4"/>
    <n v="9.225092250922509E-4"/>
    <n v="0.43999999999999995"/>
    <n v="1085"/>
    <s v="NA"/>
  </r>
  <r>
    <x v="0"/>
    <n v="3"/>
    <n v="1089"/>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1"/>
    <n v="0"/>
    <n v="0"/>
    <n v="0"/>
    <n v="0"/>
    <s v="NA"/>
    <n v="0"/>
    <n v="0"/>
    <n v="0"/>
    <n v="0"/>
    <n v="0"/>
    <n v="1"/>
    <n v="0"/>
    <n v="0"/>
    <n v="0"/>
    <s v="NA"/>
    <x v="0"/>
    <s v="purchased CFL"/>
    <s v="dummy (0/1)"/>
    <n v="5.3999999999999999E-2"/>
    <s v="increase"/>
    <n v="6.6000000000000003E-2"/>
    <n v="0.1"/>
    <n v="2"/>
    <n v="0.81818181818181812"/>
    <n v="5.5484602155080109E-2"/>
    <n v="0.51349672045631156"/>
    <s v="NA"/>
    <s v="NA"/>
    <s v="NA"/>
    <s v="NA"/>
    <s v="NA"/>
    <s v="NA"/>
    <n v="1087"/>
    <n v="1087"/>
    <s v="NA"/>
    <s v="NA"/>
    <s v="NA"/>
    <s v="NA"/>
    <s v="current "/>
    <s v="NA"/>
    <s v="NA"/>
    <s v="NA"/>
    <s v="NA"/>
    <s v="NA"/>
    <n v="0"/>
    <n v="0"/>
    <n v="1"/>
    <m/>
    <m/>
    <m/>
    <m/>
    <m/>
    <m/>
    <m/>
    <m/>
    <m/>
    <m/>
    <n v="2.4808549041116852E-2"/>
    <n v="2.4813640511901335E-2"/>
    <n v="9.2080996398975789E-4"/>
    <n v="9.225092250922509E-4"/>
    <s v="NA"/>
    <n v="1085"/>
    <s v="NA"/>
  </r>
  <r>
    <x v="0"/>
    <n v="3"/>
    <n v="1088"/>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0"/>
    <n v="0"/>
    <n v="1"/>
    <n v="0"/>
    <n v="0"/>
    <n v="0"/>
    <n v="0"/>
    <s v="NA"/>
    <n v="0"/>
    <n v="0"/>
    <n v="0"/>
    <n v="0"/>
    <n v="0"/>
    <n v="1"/>
    <n v="0"/>
    <n v="0"/>
    <n v="0"/>
    <s v="NA"/>
    <x v="0"/>
    <s v="purchased CFL"/>
    <s v="dummy (0/1)"/>
    <n v="0.105"/>
    <s v="increase"/>
    <n v="3.3000000000000002E-2"/>
    <n v="0.01"/>
    <n v="1"/>
    <n v="3.1818181818181817"/>
    <n v="0.11071061035570517"/>
    <n v="0.5262259093720687"/>
    <s v="NA"/>
    <s v="NA"/>
    <s v="NA"/>
    <s v="NA"/>
    <s v="NA"/>
    <s v="NA"/>
    <n v="1087"/>
    <n v="1087"/>
    <s v="NA"/>
    <s v="NA"/>
    <s v="NA"/>
    <s v="NA"/>
    <s v="current "/>
    <s v="NA"/>
    <s v="NA"/>
    <s v="NA"/>
    <s v="NA"/>
    <s v="NA"/>
    <n v="0"/>
    <n v="0"/>
    <n v="1"/>
    <m/>
    <m/>
    <m/>
    <m/>
    <m/>
    <m/>
    <m/>
    <m/>
    <m/>
    <m/>
    <n v="9.6061089497837926E-2"/>
    <n v="9.6358211658461979E-2"/>
    <n v="9.2073093051564905E-4"/>
    <n v="9.225092250922509E-4"/>
    <s v="NA"/>
    <n v="1085"/>
    <s v="NA"/>
  </r>
  <r>
    <x v="0"/>
    <n v="4"/>
    <n v="1112"/>
    <n v="121"/>
    <s v="Anderson, Claxton"/>
    <n v="1982"/>
    <s v="Barriers to Consumer Choice of Energy Efficient Products"/>
    <s v="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
    <n v="2"/>
    <n v="1982"/>
    <x v="0"/>
    <n v="167"/>
    <x v="3"/>
    <x v="2"/>
    <x v="2"/>
    <s v="revealed preference"/>
    <s v="retailer"/>
    <s v="store visitors"/>
    <n v="0"/>
    <s v="no such option"/>
    <n v="0"/>
    <s v="probably no"/>
    <s v="probably no"/>
    <s v="can't disentangle scepific effects for each intervention ?"/>
    <n v="0"/>
    <n v="1"/>
    <n v="1"/>
    <n v="0"/>
    <n v="0"/>
    <n v="0"/>
    <n v="0"/>
    <n v="0"/>
    <s v="can't disentangle scepific effects for each intervention - emphasis on energy information and label "/>
    <n v="0"/>
    <n v="0"/>
    <n v="0"/>
    <n v="1"/>
    <n v="0"/>
    <n v="0"/>
    <n v="0"/>
    <n v="0"/>
    <n v="0"/>
    <s v="treatments effect not differentiated"/>
    <x v="0"/>
    <s v="NA"/>
    <s v="odds ratio"/>
    <s v="NA"/>
    <s v="increase"/>
    <n v="2.287361707025994"/>
    <n v="0.05"/>
    <n v="2"/>
    <n v="4.53"/>
    <n v="0.85185185185185175"/>
    <m/>
    <n v="0.27"/>
    <n v="26"/>
    <s v="NA"/>
    <n v="0.5"/>
    <n v="16"/>
    <s v="NA"/>
    <n v="119"/>
    <n v="1116"/>
    <n v="0.22999999999999998"/>
    <s v="NA"/>
    <s v="NA"/>
    <s v="NA"/>
    <s v="NA"/>
    <n v="1"/>
    <n v="43"/>
    <n v="1"/>
    <n v="123"/>
    <s v="other"/>
    <n v="0"/>
    <n v="0"/>
    <n v="0"/>
    <m/>
    <m/>
    <m/>
    <m/>
    <m/>
    <m/>
    <m/>
    <m/>
    <m/>
    <m/>
    <n v="5.0212842027547909E-2"/>
    <n v="5.0255107024421791E-2"/>
    <n v="8.4745222158217736E-3"/>
    <n v="8.6206896551724137E-3"/>
    <n v="0.1005525270854708"/>
    <n v="117"/>
    <s v="NA"/>
  </r>
  <r>
    <x v="0"/>
    <m/>
    <n v="1071"/>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0.14099999999999999"/>
    <s v="increase"/>
    <n v="0.32"/>
    <n v="0.1"/>
    <n v="2"/>
    <n v="0.44062499999999993"/>
    <s v="NA"/>
    <m/>
    <s v="NA"/>
    <n v="216"/>
    <s v="NA"/>
    <s v="NA"/>
    <n v="119"/>
    <s v="NA"/>
    <n v="335"/>
    <n v="335"/>
    <s v="NA"/>
    <s v="NA"/>
    <s v="NA"/>
    <s v="NA"/>
    <s v="NA"/>
    <n v="0"/>
    <s v="NA"/>
    <n v="1"/>
    <n v="7"/>
    <s v="alphabetical with +"/>
    <n v="1"/>
    <n v="0"/>
    <n v="1"/>
    <m/>
    <m/>
    <m/>
    <m/>
    <m/>
    <m/>
    <m/>
    <m/>
    <m/>
    <m/>
    <n v="2.4066942415906588E-2"/>
    <n v="2.4071590697916326E-2"/>
    <n v="2.9940109708011158E-3"/>
    <n v="3.0120481927710845E-3"/>
    <m/>
    <m/>
    <m/>
  </r>
  <r>
    <x v="0"/>
    <m/>
    <n v="1072"/>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1.331"/>
    <s v="increase"/>
    <n v="0.34499999999999997"/>
    <n v="0.01"/>
    <n v="1"/>
    <n v="3.8579710144927537"/>
    <s v="NA"/>
    <m/>
    <s v="NA"/>
    <n v="216"/>
    <s v="NA"/>
    <s v="NA"/>
    <n v="224"/>
    <s v="NA"/>
    <n v="440"/>
    <n v="440"/>
    <s v="NA"/>
    <s v="NA"/>
    <s v="NA"/>
    <s v="NA"/>
    <s v="NA"/>
    <n v="1"/>
    <n v="32.4771"/>
    <n v="0"/>
    <s v="NA"/>
    <s v="NA"/>
    <n v="1"/>
    <n v="0"/>
    <n v="1"/>
    <m/>
    <m/>
    <m/>
    <m/>
    <m/>
    <m/>
    <m/>
    <m/>
    <m/>
    <m/>
    <n v="0.18088754235543161"/>
    <n v="0.18290010196181533"/>
    <n v="2.2753552022091081E-3"/>
    <n v="2.2883295194508009E-3"/>
    <m/>
    <m/>
    <m/>
  </r>
  <r>
    <x v="2"/>
    <m/>
    <n v="1266"/>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6379999999999999"/>
    <s v="increase"/>
    <s v="NA"/>
    <n v="0.01"/>
    <n v="1"/>
    <s v="NA"/>
    <s v="NA"/>
    <m/>
    <s v="NA"/>
    <s v="NA"/>
    <s v="NA"/>
    <s v="NA"/>
    <s v="NA"/>
    <s v="NA"/>
    <n v="165"/>
    <n v="2673"/>
    <s v="NA"/>
    <s v="NA"/>
    <s v="NA"/>
    <s v="NA"/>
    <s v="NA"/>
    <s v="NA"/>
    <s v="NA"/>
    <s v="NA"/>
    <s v="NA"/>
    <s v="NA"/>
    <n v="0"/>
    <n v="0"/>
    <n v="0"/>
    <m/>
    <m/>
    <m/>
    <m/>
    <m/>
    <m/>
    <m/>
    <m/>
    <m/>
    <m/>
    <e v="#VALUE!"/>
    <e v="#VALUE!"/>
    <e v="#VALUE!"/>
    <n v="6.1728395061728392E-3"/>
    <m/>
    <m/>
    <m/>
  </r>
  <r>
    <x v="2"/>
    <m/>
    <n v="1267"/>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246"/>
    <s v="increase"/>
    <s v="NA"/>
    <n v="0.05"/>
    <n v="1"/>
    <s v="NA"/>
    <s v="NA"/>
    <m/>
    <s v="NA"/>
    <s v="NA"/>
    <s v="NA"/>
    <s v="NA"/>
    <s v="NA"/>
    <s v="NA"/>
    <n v="165"/>
    <n v="2232"/>
    <s v="NA"/>
    <s v="NA"/>
    <s v="NA"/>
    <s v="NA"/>
    <s v="NA"/>
    <s v="NA"/>
    <s v="NA"/>
    <s v="NA"/>
    <s v="NA"/>
    <s v="NA"/>
    <n v="0"/>
    <n v="0"/>
    <n v="0"/>
    <m/>
    <m/>
    <m/>
    <m/>
    <m/>
    <m/>
    <m/>
    <m/>
    <m/>
    <m/>
    <e v="#VALUE!"/>
    <e v="#VALUE!"/>
    <e v="#VALUE!"/>
    <n v="6.1728395061728392E-3"/>
    <m/>
    <m/>
    <m/>
  </r>
  <r>
    <x v="2"/>
    <m/>
    <n v="1268"/>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86"/>
    <s v="increase"/>
    <s v="NA"/>
    <n v="0.01"/>
    <n v="1"/>
    <s v="NA"/>
    <s v="NA"/>
    <m/>
    <s v="NA"/>
    <s v="NA"/>
    <s v="NA"/>
    <s v="NA"/>
    <s v="NA"/>
    <s v="NA"/>
    <n v="165"/>
    <n v="2673"/>
    <s v="NA"/>
    <s v="NA"/>
    <s v="NA"/>
    <s v="NA"/>
    <s v="NA"/>
    <s v="NA"/>
    <s v="NA"/>
    <s v="NA"/>
    <s v="NA"/>
    <s v="NA"/>
    <n v="0"/>
    <n v="0"/>
    <n v="0"/>
    <m/>
    <m/>
    <m/>
    <m/>
    <m/>
    <m/>
    <m/>
    <m/>
    <m/>
    <m/>
    <e v="#VALUE!"/>
    <e v="#VALUE!"/>
    <e v="#VALUE!"/>
    <n v="6.1728395061728392E-3"/>
    <m/>
    <m/>
    <m/>
  </r>
  <r>
    <x v="2"/>
    <m/>
    <n v="1269"/>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7370000000000001"/>
    <s v="increase"/>
    <s v="NA"/>
    <n v="0.05"/>
    <n v="1"/>
    <s v="NA"/>
    <s v="NA"/>
    <m/>
    <s v="NA"/>
    <s v="NA"/>
    <s v="NA"/>
    <s v="NA"/>
    <s v="NA"/>
    <s v="NA"/>
    <n v="165"/>
    <n v="2232"/>
    <s v="NA"/>
    <s v="NA"/>
    <s v="NA"/>
    <s v="NA"/>
    <s v="NA"/>
    <s v="NA"/>
    <s v="NA"/>
    <s v="NA"/>
    <s v="NA"/>
    <s v="NA"/>
    <n v="0"/>
    <n v="0"/>
    <n v="0"/>
    <m/>
    <m/>
    <m/>
    <m/>
    <m/>
    <m/>
    <m/>
    <m/>
    <m/>
    <m/>
    <e v="#VALUE!"/>
    <e v="#VALUE!"/>
    <e v="#VALUE!"/>
    <n v="6.1728395061728392E-3"/>
    <m/>
    <m/>
    <m/>
  </r>
  <r>
    <x v="0"/>
    <m/>
    <s v="NA"/>
    <s v="NA"/>
    <s v="Aydin, Kok, Brounen"/>
    <n v="2017"/>
    <s v="Energy efficiency and household behavior: the rebound effect in the residential sector"/>
    <s v="This article investigates the rebound effect in residential heating, using a sample of 563,000_x000a_households in the Netherlands. Using instrumental variable and fixed-effects approaches, we_x000a_address potential endogeneity concerns. The results show a rebound effect of 26.7% among_x000a_homeowners, and 41.3% among tenants.We corroborate the findings through a quasiexperimental_x000a_analysis, using a large retrofit subsidy program.We also document significant heterogeneity in the_x000a_rebound effect, determined by household wealth and income, and the actual energy use intensity._x000a_The findings in this article confirm the important role of household behavior in determining the_x000a_outcomes of energy efficiency improvement programs."/>
    <n v="1"/>
    <s v="2008-2011"/>
    <x v="1"/>
    <m/>
    <x v="6"/>
    <x v="3"/>
    <x v="5"/>
    <m/>
    <m/>
    <s v="homeowners"/>
    <m/>
    <m/>
    <m/>
    <m/>
    <m/>
    <m/>
    <m/>
    <m/>
    <m/>
    <m/>
    <m/>
    <m/>
    <m/>
    <m/>
    <m/>
    <m/>
    <m/>
    <m/>
    <m/>
    <m/>
    <m/>
    <m/>
    <m/>
    <m/>
    <m/>
    <x v="3"/>
    <m/>
    <m/>
    <m/>
    <m/>
    <m/>
    <m/>
    <m/>
    <m/>
    <m/>
    <m/>
    <m/>
    <m/>
    <m/>
    <m/>
    <m/>
    <m/>
    <m/>
    <m/>
    <m/>
    <m/>
    <m/>
    <m/>
    <m/>
    <m/>
    <m/>
    <m/>
    <m/>
    <m/>
    <m/>
    <m/>
    <m/>
    <m/>
    <m/>
    <m/>
    <m/>
    <m/>
    <m/>
    <m/>
    <m/>
    <m/>
    <m/>
    <m/>
    <m/>
    <m/>
    <m/>
    <m/>
    <m/>
    <m/>
  </r>
  <r>
    <x v="0"/>
    <m/>
    <s v="NA"/>
    <s v="NA"/>
    <s v="Berman, Cooper, Geller"/>
    <n v="1987"/>
    <s v="COMPENDIUM OF UTILITY-SPONSORED ENERGY EFFICIENCY REBATE PROGRAMS."/>
    <s v="Rebate programs are becoming increasingly popular among utilities across the_x000a_country as a method to persuade customers to purchase more energy efficient_x000a_appliances, space conditioning systems, lighting products and motors~ While there_x000a_is substantial experience with and interest in utility rebate programs, utilities_x000a_and other organizations lack comprehensive information on other utility-sponsored_x000a_energy efficient rebate programs~ The authors developed this Compendium to fill_x000a_that gape_x000a_This Compendium contains information on 59 energy efficiency rebate programs, based_x000a_upon a survey of 157 utilitieso The information on each rebate program has been_x000a_cross-tabulated and analyzed to identify such variables as program characteristics,_x000a_products included, efficiency levels, rebate amounts, funding levels, energy and_x000a_peak power savings, and the cost of peak demand reductione Summary conclusions_x000a_about these variables are also presentede"/>
    <n v="2"/>
    <m/>
    <x v="2"/>
    <m/>
    <x v="6"/>
    <x v="4"/>
    <x v="5"/>
    <m/>
    <m/>
    <m/>
    <m/>
    <m/>
    <m/>
    <m/>
    <m/>
    <m/>
    <m/>
    <m/>
    <m/>
    <m/>
    <m/>
    <m/>
    <m/>
    <m/>
    <m/>
    <m/>
    <m/>
    <m/>
    <m/>
    <m/>
    <m/>
    <m/>
    <m/>
    <m/>
    <m/>
    <x v="3"/>
    <m/>
    <m/>
    <m/>
    <m/>
    <m/>
    <m/>
    <m/>
    <m/>
    <m/>
    <m/>
    <m/>
    <m/>
    <m/>
    <m/>
    <m/>
    <m/>
    <m/>
    <m/>
    <m/>
    <m/>
    <m/>
    <m/>
    <m/>
    <m/>
    <m/>
    <m/>
    <m/>
    <m/>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announcement - label compared to old and not absence of label"/>
    <n v="0"/>
    <n v="0"/>
    <n v="0"/>
    <n v="1"/>
    <n v="0"/>
    <n v="0"/>
    <n v="0"/>
    <n v="0"/>
    <n v="0"/>
    <s v="market statistics"/>
    <x v="4"/>
    <m/>
    <s v="NA"/>
    <m/>
    <m/>
    <m/>
    <m/>
    <m/>
    <m/>
    <n v="0.55000000000000004"/>
    <m/>
    <m/>
    <m/>
    <m/>
    <m/>
    <m/>
    <m/>
    <m/>
    <m/>
    <m/>
    <m/>
    <s v="NA"/>
    <s v="NA"/>
    <s v="NA"/>
    <n v="0"/>
    <s v="NA"/>
    <n v="1"/>
    <s v="NA"/>
    <s v="alphabetical with +"/>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implementation label compared to old and not absence of label"/>
    <n v="0"/>
    <n v="0"/>
    <n v="0"/>
    <n v="1"/>
    <n v="0"/>
    <n v="0"/>
    <n v="0"/>
    <n v="0"/>
    <n v="0"/>
    <s v="market statistics"/>
    <x v="4"/>
    <m/>
    <s v="NA"/>
    <m/>
    <m/>
    <m/>
    <m/>
    <m/>
    <m/>
    <n v="0.42"/>
    <m/>
    <m/>
    <m/>
    <m/>
    <m/>
    <m/>
    <m/>
    <m/>
    <m/>
    <m/>
    <m/>
    <s v="NA"/>
    <s v="NA"/>
    <s v="NA"/>
    <n v="0"/>
    <s v="NA"/>
    <n v="1"/>
    <s v="NA"/>
    <s v="alphabetical with +"/>
    <m/>
    <m/>
    <m/>
    <m/>
    <m/>
    <m/>
    <m/>
    <m/>
    <m/>
    <m/>
    <m/>
    <m/>
    <m/>
    <m/>
    <m/>
    <m/>
    <m/>
    <m/>
    <m/>
    <m/>
  </r>
  <r>
    <x v="2"/>
    <n v="5"/>
    <n v="1274"/>
    <n v="401"/>
    <s v="Caldwell, Vaughan, Harrod, Harrod"/>
    <n v="2019"/>
    <s v="Social Marketing–Enhanced Home Energy Education Encourages Adoption of Energy-Saving Practices"/>
    <s v="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
    <n v="2"/>
    <s v="NA"/>
    <x v="0"/>
    <n v="4"/>
    <x v="3"/>
    <x v="2"/>
    <x v="1"/>
    <s v="self-reported behaviour"/>
    <s v="household"/>
    <s v="homeowners"/>
    <n v="0"/>
    <s v="no such option"/>
    <n v="0"/>
    <s v="probably yes"/>
    <s v="probably no"/>
    <s v="small sample size, outcome reported in percentage of households"/>
    <n v="0"/>
    <n v="1"/>
    <n v="0"/>
    <n v="0"/>
    <n v="0"/>
    <n v="0"/>
    <n v="0"/>
    <n v="0"/>
    <s v="Intervention is combination of energy audit + energy education visit vs. audit only. Customers qualify for the study by requesting an  audit."/>
    <n v="0"/>
    <n v="0"/>
    <n v="0"/>
    <n v="0"/>
    <n v="0"/>
    <n v="1"/>
    <n v="0"/>
    <n v="0"/>
    <n v="0"/>
    <s v="percentage of households who purchased efficient lighting"/>
    <x v="0"/>
    <s v="probability of appliance purchase"/>
    <s v="NA"/>
    <s v="NA"/>
    <s v="increase"/>
    <s v="NA"/>
    <n v="0.16600000000000001"/>
    <s v="NA"/>
    <s v="NA"/>
    <n v="0.18"/>
    <m/>
    <s v="NA"/>
    <n v="54"/>
    <s v="NA"/>
    <s v="NA"/>
    <n v="53"/>
    <s v="NA"/>
    <n v="107"/>
    <n v="107"/>
    <s v="NA"/>
    <s v="NA"/>
    <s v="NA"/>
    <s v="NA"/>
    <s v="NA"/>
    <s v="NA"/>
    <s v="NA"/>
    <s v="NA"/>
    <s v="NA"/>
    <s v="NA"/>
    <n v="0"/>
    <n v="0"/>
    <n v="0"/>
    <m/>
    <m/>
    <m/>
    <m/>
    <m/>
    <m/>
    <m/>
    <m/>
    <m/>
    <m/>
    <e v="#VALUE!"/>
    <e v="#VALUE!"/>
    <e v="#VALUE!"/>
    <n v="9.6153846153846159E-3"/>
    <e v="#VALUE!"/>
    <n v="105"/>
    <s v="these have only % change reported and no absolute diff of means"/>
  </r>
  <r>
    <x v="0"/>
    <m/>
    <n v="1113"/>
    <n v="122"/>
    <s v="Carroll, Denny, Lyons"/>
    <n v="2016"/>
    <s v="The Effects of Energy Cost Labelling on Appliance Purchasing Decisions: Trial Results from Ireland"/>
    <s v="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
    <n v="2"/>
    <n v="2013"/>
    <x v="0"/>
    <n v="33"/>
    <x v="8"/>
    <x v="1"/>
    <x v="7"/>
    <s v="revealed preference"/>
    <s v="retailer"/>
    <s v="store visitors"/>
    <n v="0"/>
    <s v="no such option"/>
    <n v="0"/>
    <s v="probably no"/>
    <s v="probably no"/>
    <s v="NA"/>
    <n v="0"/>
    <n v="0"/>
    <n v="1"/>
    <n v="0"/>
    <n v="0"/>
    <n v="0"/>
    <n v="0"/>
    <n v="0"/>
    <s v="mandatory energy labelling scheme and mandatory energy performance standard"/>
    <n v="0"/>
    <n v="1"/>
    <n v="0"/>
    <n v="0"/>
    <n v="0"/>
    <n v="0"/>
    <n v="0"/>
    <n v="0"/>
    <n v="0"/>
    <s v="NA"/>
    <x v="4"/>
    <s v="log of a model's sales"/>
    <s v="log scale"/>
    <n v="1.24"/>
    <s v="increase"/>
    <n v="0.53400000000000003"/>
    <s v="NA"/>
    <n v="3"/>
    <s v="=TINV(AW3,CM3)"/>
    <s v="NA"/>
    <m/>
    <s v="NA"/>
    <s v="NA"/>
    <s v="NA"/>
    <s v="NA"/>
    <s v="NA"/>
    <s v="NA"/>
    <n v="1620"/>
    <n v="1620"/>
    <s v="NA"/>
    <s v="NA"/>
    <s v="NA"/>
    <s v="NA"/>
    <s v="NA"/>
    <n v="1"/>
    <n v="486"/>
    <n v="1"/>
    <n v="2560"/>
    <s v="other"/>
    <n v="0"/>
    <n v="0"/>
    <n v="1"/>
    <m/>
    <m/>
    <m/>
    <m/>
    <m/>
    <m/>
    <m/>
    <m/>
    <m/>
    <m/>
    <e v="#VALUE!"/>
    <e v="#VALUE!"/>
    <e v="#VALUE!"/>
    <n v="6.1842918985776133E-4"/>
    <m/>
    <m/>
    <m/>
  </r>
  <r>
    <x v="0"/>
    <m/>
    <n v="1165"/>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n v="0"/>
    <n v="0"/>
    <n v="0"/>
    <n v="0"/>
    <n v="0"/>
    <n v="1"/>
    <n v="0"/>
    <n v="0"/>
    <n v="0"/>
    <s v="NA"/>
    <x v="1"/>
    <s v="log avg wattage"/>
    <s v="log scale"/>
    <n v="0.77300000000000002"/>
    <s v="decrease"/>
    <n v="3.7999999999999999E-2"/>
    <n v="0.01"/>
    <n v="1"/>
    <n v="20.342105263157897"/>
    <n v="1.1662552812206535"/>
    <m/>
    <s v="NA"/>
    <s v="NA"/>
    <s v="NA"/>
    <s v="NA"/>
    <s v="NA"/>
    <s v="NA"/>
    <n v="2445"/>
    <n v="2445"/>
    <s v="NA"/>
    <s v="NA"/>
    <s v="NA"/>
    <s v="NA"/>
    <s v="NA"/>
    <s v="NA"/>
    <s v="NA"/>
    <s v="NA"/>
    <s v="NA"/>
    <s v="NA"/>
    <n v="0"/>
    <n v="0"/>
    <n v="0"/>
    <m/>
    <m/>
    <m/>
    <m/>
    <m/>
    <m/>
    <m/>
    <m/>
    <m/>
    <m/>
    <n v="0.38045554301813767"/>
    <n v="0.40059218306919919"/>
    <n v="3.9862850415234801E-4"/>
    <n v="4.0950040950040953E-4"/>
    <m/>
    <m/>
    <m/>
  </r>
  <r>
    <x v="0"/>
    <m/>
    <n v="1166"/>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avg wattage"/>
    <s v="log scale"/>
    <n v="0.84"/>
    <s v="decrease"/>
    <n v="6.0999999999999999E-2"/>
    <n v="0.01"/>
    <n v="1"/>
    <n v="13.770491803278688"/>
    <n v="1.3163669767810915"/>
    <m/>
    <s v="NA"/>
    <s v="NA"/>
    <s v="NA"/>
    <s v="NA"/>
    <s v="NA"/>
    <s v="NA"/>
    <n v="2433"/>
    <n v="2433"/>
    <s v="NA"/>
    <s v="NA"/>
    <s v="NA"/>
    <s v="NA"/>
    <s v="NA"/>
    <s v="NA"/>
    <s v="NA"/>
    <s v="NA"/>
    <s v="NA"/>
    <s v="NA"/>
    <n v="1"/>
    <n v="1"/>
    <n v="1"/>
    <m/>
    <m/>
    <m/>
    <m/>
    <m/>
    <m/>
    <m/>
    <m/>
    <m/>
    <m/>
    <n v="0.26889407517381664"/>
    <n v="0.27567131993753202"/>
    <n v="4.0880954322490722E-4"/>
    <n v="4.1152263374485596E-4"/>
    <m/>
    <m/>
    <m/>
  </r>
  <r>
    <x v="0"/>
    <m/>
    <n v="1167"/>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1.0999999999999999E-2"/>
    <s v="decrease"/>
    <n v="0.03"/>
    <n v="0.1"/>
    <n v="2"/>
    <n v="0.36666666666666664"/>
    <n v="1.1060722444719451E-2"/>
    <m/>
    <s v="NA"/>
    <s v="NA"/>
    <s v="NA"/>
    <s v="NA"/>
    <s v="NA"/>
    <s v="NA"/>
    <n v="2445"/>
    <n v="2445"/>
    <s v="NA"/>
    <s v="NA"/>
    <s v="NA"/>
    <s v="NA"/>
    <s v="NA"/>
    <s v="NA"/>
    <s v="NA"/>
    <s v="NA"/>
    <s v="NA"/>
    <s v="NA"/>
    <n v="0"/>
    <n v="0"/>
    <n v="0"/>
    <m/>
    <m/>
    <m/>
    <m/>
    <m/>
    <m/>
    <m/>
    <m/>
    <m/>
    <m/>
    <n v="7.4151520133472265E-3"/>
    <n v="7.4152879239220478E-3"/>
    <n v="4.0916530154520679E-4"/>
    <n v="4.0950040950040953E-4"/>
    <m/>
    <m/>
    <m/>
  </r>
  <r>
    <x v="0"/>
    <m/>
    <n v="1168"/>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9.5000000000000001E-2"/>
    <s v="increase"/>
    <n v="5.6000000000000001E-2"/>
    <n v="0.1"/>
    <n v="1"/>
    <n v="1.6964285714285714"/>
    <n v="9.9658855126102841E-2"/>
    <m/>
    <s v="NA"/>
    <s v="NA"/>
    <s v="NA"/>
    <s v="NA"/>
    <s v="NA"/>
    <s v="NA"/>
    <n v="2433"/>
    <n v="2433"/>
    <s v="NA"/>
    <s v="NA"/>
    <s v="NA"/>
    <s v="NA"/>
    <s v="NA"/>
    <s v="NA"/>
    <s v="NA"/>
    <s v="NA"/>
    <s v="NA"/>
    <s v="NA"/>
    <n v="1"/>
    <n v="1"/>
    <n v="1"/>
    <m/>
    <m/>
    <m/>
    <m/>
    <m/>
    <m/>
    <m/>
    <m/>
    <m/>
    <m/>
    <n v="3.4372239036265163E-2"/>
    <n v="3.4385785009859983E-2"/>
    <n v="4.1118363567940286E-4"/>
    <n v="4.1152263374485596E-4"/>
    <m/>
    <m/>
    <m/>
  </r>
  <r>
    <x v="1"/>
    <m/>
    <n v="1004"/>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3.3000000000000002E-2"/>
    <s v="increase"/>
    <n v="1.7000000000000001E-2"/>
    <n v="0.05"/>
    <n v="1"/>
    <n v="1.9411764705882353"/>
    <s v="NA"/>
    <m/>
    <s v="NA"/>
    <s v="NA"/>
    <s v="NA"/>
    <s v="NA"/>
    <s v="NA"/>
    <s v="NA"/>
    <s v="NA"/>
    <n v="1128"/>
    <s v="NA"/>
    <s v="NA"/>
    <s v="NA"/>
    <s v="NA"/>
    <s v="NA"/>
    <s v="NA"/>
    <s v="NA"/>
    <s v="NA"/>
    <s v="NA"/>
    <s v="NA"/>
    <n v="1"/>
    <n v="1"/>
    <n v="1"/>
    <m/>
    <m/>
    <m/>
    <m/>
    <m/>
    <m/>
    <m/>
    <m/>
    <m/>
    <m/>
    <e v="#VALUE!"/>
    <e v="#VALUE!"/>
    <e v="#VALUE!"/>
    <e v="#VALUE!"/>
    <m/>
    <m/>
    <m/>
  </r>
  <r>
    <x v="1"/>
    <m/>
    <n v="1005"/>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1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0.107"/>
    <s v="increase"/>
    <n v="0.124"/>
    <n v="0.1"/>
    <n v="2"/>
    <n v="0.86290322580645162"/>
    <s v="NA"/>
    <m/>
    <s v="NA"/>
    <s v="NA"/>
    <s v="NA"/>
    <s v="NA"/>
    <s v="NA"/>
    <s v="NA"/>
    <s v="NA"/>
    <n v="1104"/>
    <s v="NA"/>
    <s v="NA"/>
    <s v="NA"/>
    <s v="NA"/>
    <s v="NA"/>
    <s v="NA"/>
    <s v="NA"/>
    <s v="NA"/>
    <s v="NA"/>
    <s v="NA"/>
    <n v="1"/>
    <n v="1"/>
    <n v="1"/>
    <m/>
    <m/>
    <m/>
    <m/>
    <m/>
    <m/>
    <m/>
    <m/>
    <m/>
    <m/>
    <e v="#VALUE!"/>
    <e v="#VALUE!"/>
    <e v="#VALUE!"/>
    <e v="#VALUE!"/>
    <m/>
    <m/>
    <m/>
  </r>
  <r>
    <x v="1"/>
    <m/>
    <n v="1006"/>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9"/>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6.6000000000000003E-2"/>
    <s v="increase"/>
    <n v="3.1E-2"/>
    <n v="0.05"/>
    <n v="1"/>
    <n v="2.1290322580645165"/>
    <s v="NA"/>
    <m/>
    <s v="NA"/>
    <s v="NA"/>
    <s v="NA"/>
    <s v="NA"/>
    <s v="NA"/>
    <s v="NA"/>
    <s v="NA"/>
    <n v="1128"/>
    <s v="NA"/>
    <s v="NA"/>
    <s v="NA"/>
    <s v="NA"/>
    <s v="NA"/>
    <s v="NA"/>
    <s v="NA"/>
    <s v="NA"/>
    <s v="NA"/>
    <s v="NA"/>
    <n v="1"/>
    <n v="1"/>
    <n v="1"/>
    <m/>
    <m/>
    <m/>
    <m/>
    <m/>
    <m/>
    <m/>
    <m/>
    <m/>
    <m/>
    <e v="#VALUE!"/>
    <e v="#VALUE!"/>
    <e v="#VALUE!"/>
    <e v="#VALUE!"/>
    <m/>
    <m/>
    <m/>
  </r>
  <r>
    <x v="0"/>
    <m/>
    <n v="107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81"/>
    <s v="increase"/>
    <n v="0.161"/>
    <n v="0.01"/>
    <n v="1"/>
    <n v="7.3354037267080745"/>
    <s v="NA"/>
    <m/>
    <s v="NA"/>
    <s v="NA"/>
    <s v="NA"/>
    <s v="NA"/>
    <s v="NA"/>
    <s v="NA"/>
    <n v="1200"/>
    <n v="1200"/>
    <s v="NA"/>
    <s v="NA"/>
    <n v="68.653999999999996"/>
    <s v="NA"/>
    <s v="delayed"/>
    <s v="NA"/>
    <s v="NA"/>
    <s v="NA"/>
    <s v="NA"/>
    <s v="NA"/>
    <n v="0"/>
    <n v="0"/>
    <n v="1"/>
    <m/>
    <m/>
    <m/>
    <m/>
    <m/>
    <m/>
    <m/>
    <m/>
    <m/>
    <m/>
    <n v="0.20716122845709467"/>
    <n v="0.21020345181527472"/>
    <n v="8.3240003533893779E-4"/>
    <n v="8.3542188805346695E-4"/>
    <m/>
    <m/>
    <m/>
  </r>
  <r>
    <x v="0"/>
    <m/>
    <n v="107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559999999999999"/>
    <s v="increase"/>
    <n v="0.16500000000000001"/>
    <n v="0.01"/>
    <n v="1"/>
    <n v="7.006060606060605"/>
    <s v="NA"/>
    <m/>
    <s v="NA"/>
    <s v="NA"/>
    <s v="NA"/>
    <s v="NA"/>
    <s v="NA"/>
    <s v="NA"/>
    <n v="1200"/>
    <n v="1200"/>
    <s v="NA"/>
    <s v="NA"/>
    <n v="68.653999999999996"/>
    <s v="NA"/>
    <s v="delayed"/>
    <s v="NA"/>
    <s v="NA"/>
    <s v="NA"/>
    <s v="NA"/>
    <s v="NA"/>
    <n v="0"/>
    <n v="0"/>
    <n v="1"/>
    <m/>
    <m/>
    <m/>
    <m/>
    <m/>
    <m/>
    <m/>
    <m/>
    <m/>
    <m/>
    <n v="0.19823389455053378"/>
    <n v="0.20089353544961"/>
    <n v="8.3266990381727121E-4"/>
    <n v="8.3542188805346695E-4"/>
    <m/>
    <m/>
    <m/>
  </r>
  <r>
    <x v="0"/>
    <m/>
    <n v="1075"/>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23599999999999999"/>
    <s v="increase"/>
    <n v="7.6999999999999999E-2"/>
    <n v="0.01"/>
    <n v="1"/>
    <n v="3.0649350649350646"/>
    <s v="NA"/>
    <m/>
    <s v="NA"/>
    <s v="NA"/>
    <s v="NA"/>
    <s v="NA"/>
    <s v="NA"/>
    <s v="NA"/>
    <n v="1200"/>
    <n v="1200"/>
    <s v="NA"/>
    <s v="NA"/>
    <n v="68.653999999999996"/>
    <s v="NA"/>
    <s v="delayed"/>
    <s v="NA"/>
    <s v="NA"/>
    <s v="NA"/>
    <s v="NA"/>
    <s v="NA"/>
    <n v="0"/>
    <n v="0"/>
    <n v="1"/>
    <m/>
    <m/>
    <m/>
    <m/>
    <m/>
    <m/>
    <m/>
    <m/>
    <m/>
    <m/>
    <n v="8.8132766729768969E-2"/>
    <n v="8.8362023146500421E-2"/>
    <n v="8.3397751252971112E-4"/>
    <n v="8.3542188805346695E-4"/>
    <m/>
    <m/>
    <m/>
  </r>
  <r>
    <x v="0"/>
    <m/>
    <n v="1076"/>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39500000000000002"/>
    <s v="increase"/>
    <n v="0.13200000000000001"/>
    <n v="0.01"/>
    <n v="1"/>
    <n v="2.9924242424242422"/>
    <s v="NA"/>
    <m/>
    <s v="NA"/>
    <s v="NA"/>
    <s v="NA"/>
    <s v="NA"/>
    <s v="NA"/>
    <s v="NA"/>
    <n v="1200"/>
    <n v="1200"/>
    <s v="NA"/>
    <s v="NA"/>
    <n v="68.653999999999996"/>
    <s v="NA"/>
    <s v="delayed"/>
    <s v="NA"/>
    <s v="NA"/>
    <s v="NA"/>
    <s v="NA"/>
    <s v="NA"/>
    <n v="0"/>
    <n v="0"/>
    <n v="1"/>
    <m/>
    <m/>
    <m/>
    <m/>
    <m/>
    <m/>
    <m/>
    <m/>
    <m/>
    <m/>
    <n v="8.6063334338985817E-2"/>
    <n v="8.6276771120091189E-2"/>
    <n v="8.3398214479539034E-4"/>
    <n v="8.3542188805346695E-4"/>
    <m/>
    <m/>
    <m/>
  </r>
  <r>
    <x v="0"/>
    <m/>
    <n v="1077"/>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779999999999999"/>
    <s v="increase"/>
    <n v="0.45"/>
    <n v="0.01"/>
    <n v="1"/>
    <n v="5.9511111111111106"/>
    <s v="NA"/>
    <m/>
    <s v="NA"/>
    <s v="NA"/>
    <s v="NA"/>
    <s v="NA"/>
    <s v="NA"/>
    <s v="NA"/>
    <n v="1199"/>
    <n v="1199"/>
    <s v="NA"/>
    <s v="NA"/>
    <n v="34.347999999999999"/>
    <s v="NA"/>
    <s v="delayed"/>
    <s v="NA"/>
    <s v="NA"/>
    <s v="NA"/>
    <s v="NA"/>
    <s v="NA"/>
    <n v="0"/>
    <n v="0"/>
    <n v="1"/>
    <m/>
    <m/>
    <m/>
    <m/>
    <m/>
    <m/>
    <m/>
    <m/>
    <m/>
    <m/>
    <n v="0.16938203115368139"/>
    <n v="0.17103037260946002"/>
    <n v="8.3401031408957341E-4"/>
    <n v="8.3612040133779263E-4"/>
    <m/>
    <m/>
    <m/>
  </r>
  <r>
    <x v="0"/>
    <m/>
    <n v="1078"/>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17"/>
    <s v="increase"/>
    <n v="0.45600000000000002"/>
    <n v="0.01"/>
    <n v="1"/>
    <n v="5.7390350877192979"/>
    <s v="NA"/>
    <m/>
    <s v="NA"/>
    <s v="NA"/>
    <s v="NA"/>
    <s v="NA"/>
    <s v="NA"/>
    <s v="NA"/>
    <n v="1199"/>
    <n v="1199"/>
    <s v="NA"/>
    <s v="NA"/>
    <n v="34.347999999999999"/>
    <s v="NA"/>
    <s v="delayed"/>
    <s v="NA"/>
    <s v="NA"/>
    <s v="NA"/>
    <s v="NA"/>
    <s v="NA"/>
    <n v="0"/>
    <n v="0"/>
    <n v="1"/>
    <m/>
    <m/>
    <m/>
    <m/>
    <m/>
    <m/>
    <m/>
    <m/>
    <m/>
    <m/>
    <n v="0.16351014904569258"/>
    <n v="0.16499115897987898"/>
    <n v="8.3410597514365812E-4"/>
    <n v="8.3612040133779263E-4"/>
    <m/>
    <m/>
    <m/>
  </r>
  <r>
    <x v="0"/>
    <m/>
    <n v="1079"/>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1.1240000000000001"/>
    <s v="decrease"/>
    <n v="0.42899999999999999"/>
    <n v="0.05"/>
    <n v="1"/>
    <n v="2.6200466200466201"/>
    <s v="NA"/>
    <m/>
    <s v="NA"/>
    <s v="NA"/>
    <s v="NA"/>
    <s v="NA"/>
    <s v="NA"/>
    <s v="NA"/>
    <n v="1199"/>
    <n v="1199"/>
    <s v="NA"/>
    <s v="NA"/>
    <n v="34.347999999999999"/>
    <s v="NA"/>
    <s v="delayed"/>
    <s v="NA"/>
    <s v="NA"/>
    <s v="NA"/>
    <s v="NA"/>
    <s v="NA"/>
    <n v="0"/>
    <n v="0"/>
    <n v="1"/>
    <m/>
    <m/>
    <m/>
    <m/>
    <m/>
    <m/>
    <m/>
    <m/>
    <m/>
    <m/>
    <n v="7.545008581866168E-2"/>
    <n v="7.5593748794722831E-2"/>
    <n v="8.3469728335796656E-4"/>
    <n v="8.3612040133779263E-4"/>
    <m/>
    <m/>
    <m/>
  </r>
  <r>
    <x v="0"/>
    <m/>
    <n v="1080"/>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0.60399999999999998"/>
    <s v="decrease"/>
    <n v="0.41699999999999998"/>
    <n v="0.1"/>
    <n v="2"/>
    <n v="1.4484412470023982"/>
    <s v="NA"/>
    <m/>
    <s v="NA"/>
    <s v="NA"/>
    <s v="NA"/>
    <s v="NA"/>
    <s v="NA"/>
    <s v="NA"/>
    <n v="1199"/>
    <n v="1199"/>
    <s v="NA"/>
    <s v="NA"/>
    <n v="34.347999999999999"/>
    <s v="NA"/>
    <s v="delayed"/>
    <s v="NA"/>
    <s v="NA"/>
    <s v="NA"/>
    <s v="NA"/>
    <s v="NA"/>
    <n v="0"/>
    <n v="0"/>
    <n v="1"/>
    <m/>
    <m/>
    <m/>
    <m/>
    <m/>
    <m/>
    <m/>
    <m/>
    <m/>
    <m/>
    <n v="4.1793781222559251E-2"/>
    <n v="4.1818140770501222E-2"/>
    <n v="8.3472198818807463E-4"/>
    <n v="8.3612040133779263E-4"/>
    <m/>
    <m/>
    <m/>
  </r>
  <r>
    <x v="0"/>
    <m/>
    <n v="1081"/>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171"/>
    <s v="increase"/>
    <n v="0.26900000000000002"/>
    <n v="0.01"/>
    <n v="1"/>
    <n v="4.3531598513011147"/>
    <s v="NA"/>
    <m/>
    <s v="NA"/>
    <s v="NA"/>
    <s v="NA"/>
    <s v="NA"/>
    <s v="NA"/>
    <s v="NA"/>
    <n v="1200"/>
    <n v="1200"/>
    <s v="NA"/>
    <s v="NA"/>
    <n v="49.061999999999998"/>
    <s v="NA"/>
    <s v="delayed"/>
    <s v="NA"/>
    <s v="NA"/>
    <s v="NA"/>
    <s v="NA"/>
    <s v="NA"/>
    <n v="0"/>
    <n v="0"/>
    <n v="1"/>
    <m/>
    <m/>
    <m/>
    <m/>
    <m/>
    <m/>
    <m/>
    <m/>
    <m/>
    <m/>
    <n v="0.12468427062360037"/>
    <n v="0.12533648603448228"/>
    <n v="8.3382253539962601E-4"/>
    <n v="8.3542188805346695E-4"/>
    <m/>
    <m/>
    <m/>
  </r>
  <r>
    <x v="0"/>
    <m/>
    <n v="1082"/>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03"/>
    <s v="increase"/>
    <n v="0.27200000000000002"/>
    <n v="0.01"/>
    <n v="1"/>
    <n v="3.7867647058823528"/>
    <s v="NA"/>
    <m/>
    <s v="NA"/>
    <s v="NA"/>
    <s v="NA"/>
    <s v="NA"/>
    <s v="NA"/>
    <s v="NA"/>
    <n v="1200"/>
    <n v="1200"/>
    <s v="NA"/>
    <s v="NA"/>
    <n v="49.061999999999998"/>
    <s v="NA"/>
    <s v="delayed"/>
    <s v="NA"/>
    <s v="NA"/>
    <s v="NA"/>
    <s v="NA"/>
    <s v="NA"/>
    <n v="0"/>
    <n v="0"/>
    <n v="1"/>
    <m/>
    <m/>
    <m/>
    <m/>
    <m/>
    <m/>
    <m/>
    <m/>
    <m/>
    <m/>
    <n v="0.10866714177304562"/>
    <n v="0.10909793182920374"/>
    <n v="8.3391020338338315E-4"/>
    <n v="8.3542188805346695E-4"/>
    <m/>
    <m/>
    <m/>
  </r>
  <r>
    <x v="0"/>
    <m/>
    <n v="108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2E-2"/>
    <s v="increase"/>
    <n v="0.113"/>
    <n v="0.1"/>
    <n v="2"/>
    <n v="0.10619469026548672"/>
    <s v="NA"/>
    <m/>
    <s v="NA"/>
    <s v="NA"/>
    <s v="NA"/>
    <s v="NA"/>
    <s v="NA"/>
    <s v="NA"/>
    <n v="1200"/>
    <n v="1200"/>
    <s v="NA"/>
    <s v="NA"/>
    <n v="49.061999999999998"/>
    <s v="NA"/>
    <s v="delayed"/>
    <s v="NA"/>
    <s v="NA"/>
    <s v="NA"/>
    <s v="NA"/>
    <s v="NA"/>
    <n v="0"/>
    <n v="0"/>
    <n v="1"/>
    <m/>
    <m/>
    <m/>
    <m/>
    <m/>
    <m/>
    <m/>
    <m/>
    <m/>
    <m/>
    <n v="3.0655622458887941E-3"/>
    <n v="3.0655718489923326E-3"/>
    <n v="8.3402835689047757E-4"/>
    <n v="8.3542188805346695E-4"/>
    <m/>
    <m/>
    <m/>
  </r>
  <r>
    <x v="0"/>
    <m/>
    <n v="108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0.28199999999999997"/>
    <s v="increase"/>
    <n v="0.15"/>
    <n v="0.1"/>
    <n v="1"/>
    <n v="1.88"/>
    <s v="NA"/>
    <m/>
    <s v="NA"/>
    <s v="NA"/>
    <s v="NA"/>
    <s v="NA"/>
    <s v="NA"/>
    <s v="NA"/>
    <n v="1200"/>
    <n v="1200"/>
    <s v="NA"/>
    <s v="NA"/>
    <n v="49.061999999999998"/>
    <s v="NA"/>
    <s v="delayed"/>
    <s v="NA"/>
    <s v="NA"/>
    <s v="NA"/>
    <s v="NA"/>
    <s v="NA"/>
    <n v="0"/>
    <n v="0"/>
    <n v="1"/>
    <m/>
    <m/>
    <m/>
    <m/>
    <m/>
    <m/>
    <m/>
    <m/>
    <m/>
    <m/>
    <n v="5.4191178438811397E-2"/>
    <n v="5.4244319557796482E-2"/>
    <n v="8.3402113595524175E-4"/>
    <n v="8.3542188805346695E-4"/>
    <m/>
    <m/>
    <m/>
  </r>
  <r>
    <x v="3"/>
    <m/>
    <n v="1234"/>
    <n v="310"/>
    <s v="Davis"/>
    <n v="2008"/>
    <s v="Durable goods and residential demand for energy and water: evidence from a field trial"/>
    <s v="This article describes a household production model in which energy-efficient durable goods cost less to operate so households may use them more. The model is estimated using household_x0002_level data from a field trial in which participants received high-efficiency clothes washers free of charge. The estimation strategy exploits this quasi-random replacement of washers to derive precise estimates of the household production technology and a demand function for clothes washing. During the field trial, households increased clothes washing on average by 5.6% after receiving a high-efficiency washer, implying a price elasticity of −.06. The complete model is used to evaluate the cost-effectiveness of recent changes in minimum efficiency standards for clothes washers."/>
    <n v="1"/>
    <n v="1997"/>
    <x v="4"/>
    <n v="535"/>
    <x v="3"/>
    <x v="0"/>
    <x v="1"/>
    <s v="self-reported behavior"/>
    <s v="household"/>
    <s v="residents"/>
    <n v="1"/>
    <s v="opt_in"/>
    <n v="0"/>
    <s v="probably yes"/>
    <s v="probably yes"/>
    <s v="some important controls were not implemented in the analyses, so the effects might be overestimated (see p. 537)"/>
    <n v="0"/>
    <n v="0"/>
    <n v="0"/>
    <n v="0"/>
    <n v="0"/>
    <n v="0"/>
    <n v="0"/>
    <n v="0"/>
    <s v="NA"/>
    <n v="1"/>
    <n v="0"/>
    <n v="0"/>
    <n v="0"/>
    <n v="0"/>
    <n v="0"/>
    <n v="0"/>
    <n v="0"/>
    <n v="0"/>
    <s v="NA"/>
    <x v="1"/>
    <s v="energy use of washing calculated from Table 1"/>
    <s v="NA"/>
    <n v="0.37445148468642925"/>
    <s v="decrease"/>
    <e v="#VALUE!"/>
    <s v="NA"/>
    <s v="NA"/>
    <s v="NA"/>
    <n v="0.45419354838709675"/>
    <m/>
    <n v="7.75"/>
    <n v="95"/>
    <s v="NA"/>
    <n v="4.2300000000000004"/>
    <n v="95"/>
    <s v="NA"/>
    <n v="95"/>
    <n v="18233"/>
    <s v="NA"/>
    <s v="NA"/>
    <s v="NA"/>
    <s v="NA"/>
    <s v="NA"/>
    <s v="NA"/>
    <s v="NA"/>
    <s v="NA"/>
    <s v="NA"/>
    <s v="NA"/>
    <n v="0"/>
    <n v="0"/>
    <n v="0"/>
    <m/>
    <m/>
    <m/>
    <m/>
    <m/>
    <m/>
    <m/>
    <m/>
    <m/>
    <m/>
    <m/>
    <n v="0"/>
    <n v="1.0638297872340425E-2"/>
    <n v="1.0869565217391304E-2"/>
    <e v="#VALUE!"/>
    <m/>
    <m/>
  </r>
  <r>
    <x v="0"/>
    <m/>
    <n v="1292"/>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4"/>
    <s v="decrease"/>
    <n v="0.7"/>
    <n v="0.05"/>
    <n v="1"/>
    <n v="16.285714285714288"/>
    <s v="NA"/>
    <m/>
    <s v="NA"/>
    <s v="NA"/>
    <s v="NA"/>
    <s v="NA"/>
    <s v="NA"/>
    <s v="NA"/>
    <n v="957080"/>
    <n v="957080"/>
    <s v="NA"/>
    <s v="NA"/>
    <s v="30 to 170$"/>
    <s v="NA"/>
    <s v="current "/>
    <s v="NA"/>
    <s v="NA"/>
    <s v="NA"/>
    <s v="NA"/>
    <s v="NA"/>
    <n v="1"/>
    <n v="0"/>
    <n v="1"/>
    <m/>
    <m/>
    <m/>
    <m/>
    <m/>
    <m/>
    <m/>
    <m/>
    <m/>
    <m/>
    <n v="1.6644567843645545E-2"/>
    <n v="1.6646105178647452E-2"/>
    <n v="1.0448457475501714E-6"/>
    <n v="1.0448480111840532E-6"/>
    <m/>
    <m/>
    <m/>
  </r>
  <r>
    <x v="0"/>
    <m/>
    <n v="1293"/>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9"/>
    <s v="decrease"/>
    <n v="0.75"/>
    <n v="0.05"/>
    <n v="1"/>
    <n v="15.866666666666667"/>
    <s v="NA"/>
    <m/>
    <s v="NA"/>
    <s v="NA"/>
    <s v="NA"/>
    <s v="NA"/>
    <s v="NA"/>
    <s v="NA"/>
    <n v="957080"/>
    <n v="957080"/>
    <s v="NA"/>
    <s v="NA"/>
    <s v="30 to 170$"/>
    <s v="NA"/>
    <s v="current "/>
    <s v="NA"/>
    <s v="NA"/>
    <s v="NA"/>
    <s v="NA"/>
    <s v="NA"/>
    <n v="1"/>
    <n v="0"/>
    <n v="1"/>
    <m/>
    <m/>
    <m/>
    <m/>
    <m/>
    <m/>
    <m/>
    <m/>
    <m/>
    <m/>
    <n v="1.6216400678486488E-2"/>
    <n v="1.6217822387367728E-2"/>
    <n v="1.0448457554931792E-6"/>
    <n v="1.0448480111840532E-6"/>
    <m/>
    <m/>
    <m/>
  </r>
  <r>
    <x v="0"/>
    <m/>
    <n v="1294"/>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4"/>
    <s v="increase"/>
    <n v="1.2"/>
    <n v="0.1"/>
    <n v="2"/>
    <n v="1.1666666666666667"/>
    <s v="NA"/>
    <m/>
    <s v="NA"/>
    <s v="NA"/>
    <s v="NA"/>
    <s v="NA"/>
    <s v="NA"/>
    <s v="NA"/>
    <n v="957080"/>
    <n v="957080"/>
    <s v="NA"/>
    <s v="NA"/>
    <s v="30 to 170$"/>
    <s v="NA"/>
    <s v="current "/>
    <s v="NA"/>
    <s v="NA"/>
    <s v="NA"/>
    <s v="NA"/>
    <s v="NA"/>
    <n v="1"/>
    <n v="0"/>
    <n v="1"/>
    <m/>
    <m/>
    <m/>
    <m/>
    <m/>
    <m/>
    <m/>
    <m/>
    <m/>
    <m/>
    <n v="1.1925383671592018E-3"/>
    <n v="1.1925389324815921E-3"/>
    <n v="1.0448458277717697E-6"/>
    <n v="1.0448480111840532E-6"/>
    <m/>
    <m/>
    <m/>
  </r>
  <r>
    <x v="0"/>
    <m/>
    <n v="1295"/>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2"/>
    <s v="increase"/>
    <n v="1.3"/>
    <n v="0.1"/>
    <n v="2"/>
    <n v="0.92307692307692302"/>
    <s v="NA"/>
    <m/>
    <s v="NA"/>
    <s v="NA"/>
    <s v="NA"/>
    <s v="NA"/>
    <s v="NA"/>
    <s v="NA"/>
    <n v="957080"/>
    <n v="957080"/>
    <s v="NA"/>
    <s v="NA"/>
    <s v="30 to 170$"/>
    <s v="NA"/>
    <s v="current "/>
    <s v="NA"/>
    <s v="NA"/>
    <s v="NA"/>
    <s v="NA"/>
    <s v="NA"/>
    <n v="1"/>
    <n v="0"/>
    <n v="1"/>
    <m/>
    <m/>
    <m/>
    <m/>
    <m/>
    <m/>
    <m/>
    <m/>
    <m/>
    <m/>
    <n v="9.4354709087100688E-4"/>
    <n v="9.4354737087855463E-4"/>
    <n v="1.0448458277730546E-6"/>
    <n v="1.0448480111840532E-6"/>
    <m/>
    <m/>
    <m/>
  </r>
  <r>
    <x v="0"/>
    <m/>
    <n v="1059"/>
    <n v="110"/>
    <s v="Davis, Metcalf"/>
    <n v="2014"/>
    <s v="DOES BETTER INFORMATION LEAD TO BETTER CHOICES? EVIDENCE FROM_x000a_ENERGY-EFFICIENCY LABELS"/>
    <s v="Information provision is a key element of government energy-efficiency policy, but the information_x000a_that is provided is often too coarse to allow consumers to make efficient decisions. An important example_x000a_is the ubiquitous yellow “EnergyGuide” label, which is required by law to be displayed on all major_x000a_appliances sold in the United States. These labels report energy cost information based on average_x000a_national usage and energy prices. We conduct an online randomized controlled trial to measure the_x000a_potential benefits from providing more accurate information. We find that state-specific labels lead_x000a_to significantly better choices. Consumers invest about the same amount overall in energy-efficiency,_x000a_but the allocation is much better with more investment in high-usage high-price states and less investment_x000a_in low-usage low-price states. The implied aggregate cost savings are larger than any reasonable estimate_x000a_of the cost of implementing state-specific labels."/>
    <n v="2"/>
    <n v="2014"/>
    <x v="0"/>
    <n v="35"/>
    <x v="4"/>
    <x v="2"/>
    <x v="1"/>
    <s v="stated preference"/>
    <s v="household"/>
    <s v="residents"/>
    <n v="1"/>
    <s v="no such option"/>
    <n v="1"/>
    <s v="probably no"/>
    <s v="probably no"/>
    <s v="NA"/>
    <n v="0"/>
    <n v="0"/>
    <n v="1"/>
    <n v="0"/>
    <n v="0"/>
    <n v="0"/>
    <n v="0"/>
    <n v="0"/>
    <s v="comparison of two different labels (one with operation costs based on national-level energy price, the other with OC based on state-level energy price)"/>
    <n v="0"/>
    <n v="0"/>
    <n v="0"/>
    <n v="0"/>
    <n v="0"/>
    <n v="0"/>
    <n v="0"/>
    <n v="1"/>
    <n v="0"/>
    <s v="difference between labels and not absence / presence of a label"/>
    <x v="2"/>
    <s v="purchase price (investment in energy efficiency)"/>
    <s v="NA"/>
    <n v="3.4359999999999999"/>
    <s v="increase"/>
    <n v="4.9960000000000004"/>
    <s v="NA"/>
    <n v="3"/>
    <n v="0.687750200160128"/>
    <s v="NA"/>
    <m/>
    <s v="NA"/>
    <s v="NA"/>
    <s v="NA"/>
    <s v="NA"/>
    <s v="NA"/>
    <s v="NA"/>
    <n v="2440"/>
    <n v="7275"/>
    <s v="NA"/>
    <s v="NA"/>
    <s v="NA"/>
    <s v="NA"/>
    <s v="NA"/>
    <n v="1"/>
    <s v="NA"/>
    <n v="0"/>
    <n v="0"/>
    <s v="numerical"/>
    <n v="1"/>
    <n v="0"/>
    <n v="1"/>
    <m/>
    <m/>
    <m/>
    <m/>
    <m/>
    <m/>
    <m/>
    <m/>
    <m/>
    <m/>
    <n v="1.3921746511164878E-2"/>
    <n v="1.3922646030325031E-2"/>
    <n v="4.1000408463551713E-4"/>
    <n v="4.103405826836274E-4"/>
    <m/>
    <m/>
    <m/>
  </r>
  <r>
    <x v="0"/>
    <n v="6"/>
    <n v="1210"/>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1"/>
    <n v="0"/>
    <n v="0"/>
    <n v="0"/>
    <n v="0"/>
    <n v="0"/>
    <n v="0"/>
    <n v="0"/>
    <n v="0"/>
    <s v="interval outcome measure denoting the kWh/year for a given product type purchased"/>
    <x v="0"/>
    <s v="energy consumption (in kWh/year) of appliance sold"/>
    <s v="NA"/>
    <s v="NA"/>
    <s v="increase"/>
    <n v="1"/>
    <n v="0.1"/>
    <n v="2"/>
    <n v="1.671552762454859"/>
    <n v="0.21"/>
    <m/>
    <s v="NA"/>
    <n v="19"/>
    <s v="NA"/>
    <s v="NA"/>
    <n v="19"/>
    <s v="NA"/>
    <n v="60"/>
    <n v="51591"/>
    <s v="NA"/>
    <s v="NA"/>
    <s v="NA"/>
    <s v="NA"/>
    <s v="NA"/>
    <n v="1"/>
    <n v="185"/>
    <s v="NA"/>
    <s v="NA"/>
    <s v="NA"/>
    <n v="0"/>
    <n v="0"/>
    <n v="0"/>
    <m/>
    <m/>
    <m/>
    <m/>
    <m/>
    <m/>
    <m/>
    <m/>
    <m/>
    <m/>
    <e v="#VALUE!"/>
    <e v="#VALUE!"/>
    <e v="#VALUE!"/>
    <n v="1.7543859649122806E-2"/>
    <e v="#VALUE!"/>
    <n v="58"/>
    <s v="these have only % change reported and no absolute diff of means"/>
  </r>
  <r>
    <x v="0"/>
    <n v="6"/>
    <n v="1211"/>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0.98275932949058287"/>
    <n v="0.06"/>
    <n v="1"/>
    <n v="2.06"/>
    <n v="0.71"/>
    <m/>
    <s v="NA"/>
    <n v="19"/>
    <s v="NA"/>
    <s v="NA"/>
    <n v="19"/>
    <s v="NA"/>
    <n v="13"/>
    <n v="51591"/>
    <s v="NA"/>
    <s v="NA"/>
    <s v="NA"/>
    <s v="NA"/>
    <s v="NA"/>
    <n v="1"/>
    <n v="185"/>
    <s v="NA"/>
    <s v="NA"/>
    <s v="NA"/>
    <n v="0"/>
    <n v="0"/>
    <n v="0"/>
    <m/>
    <m/>
    <m/>
    <m/>
    <m/>
    <m/>
    <m/>
    <m/>
    <m/>
    <m/>
    <e v="#VALUE!"/>
    <e v="#VALUE!"/>
    <e v="#VALUE!"/>
    <n v="0.1"/>
    <e v="#VALUE!"/>
    <n v="11"/>
    <s v="these have only % change reported and no absolute diff of means"/>
  </r>
  <r>
    <x v="0"/>
    <n v="6"/>
    <n v="1212"/>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increase"/>
    <n v="1"/>
    <n v="0.1"/>
    <n v="2"/>
    <n v="1.6938887483837093"/>
    <n v="0.08"/>
    <m/>
    <s v="NA"/>
    <n v="19"/>
    <s v="NA"/>
    <s v="NA"/>
    <n v="19"/>
    <s v="NA"/>
    <n v="34"/>
    <n v="51591"/>
    <s v="NA"/>
    <s v="NA"/>
    <s v="NA"/>
    <s v="NA"/>
    <s v="NA"/>
    <n v="1"/>
    <n v="185"/>
    <s v="NA"/>
    <s v="NA"/>
    <s v="NA"/>
    <n v="0"/>
    <n v="0"/>
    <n v="0"/>
    <m/>
    <m/>
    <m/>
    <m/>
    <m/>
    <m/>
    <m/>
    <m/>
    <m/>
    <m/>
    <e v="#VALUE!"/>
    <e v="#VALUE!"/>
    <e v="#VALUE!"/>
    <n v="3.2258064516129031E-2"/>
    <e v="#VALUE!"/>
    <n v="32"/>
    <s v="these have only % change reported and no absolute diff of means"/>
  </r>
  <r>
    <x v="0"/>
    <n v="6"/>
    <n v="1214"/>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1"/>
    <n v="0.1"/>
    <n v="2"/>
    <n v="1.9431802805153031"/>
    <n v="0.08"/>
    <m/>
    <s v="NA"/>
    <n v="19"/>
    <s v="NA"/>
    <s v="NA"/>
    <n v="19"/>
    <s v="NA"/>
    <n v="8"/>
    <n v="51591"/>
    <s v="NA"/>
    <s v="NA"/>
    <s v="NA"/>
    <s v="NA"/>
    <s v="NA"/>
    <n v="1"/>
    <n v="185"/>
    <s v="NA"/>
    <s v="NA"/>
    <s v="NA"/>
    <n v="0"/>
    <n v="0"/>
    <n v="0"/>
    <m/>
    <m/>
    <m/>
    <m/>
    <m/>
    <m/>
    <m/>
    <m/>
    <m/>
    <m/>
    <e v="#VALUE!"/>
    <e v="#VALUE!"/>
    <e v="#VALUE!"/>
    <n v="0.2"/>
    <e v="#VALUE!"/>
    <n v="6"/>
    <s v="these have only % change reported and no absolute diff of means"/>
  </r>
  <r>
    <x v="0"/>
    <n v="7"/>
    <n v="1103"/>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3.1600000000000003E-2"/>
    <s v="increase"/>
    <n v="1.66E-2"/>
    <n v="0.1"/>
    <n v="1"/>
    <n v="1.9036144578313254"/>
    <n v="3.1600000000000003E-2"/>
    <n v="0.5078993426803039"/>
    <s v="NA"/>
    <s v="NA"/>
    <s v="NA"/>
    <s v="NA"/>
    <s v="NA"/>
    <s v="NA"/>
    <n v="1350"/>
    <n v="1350"/>
    <s v="NA"/>
    <s v="NA"/>
    <s v="NA"/>
    <s v="NA"/>
    <s v="NA"/>
    <n v="1"/>
    <s v="NA"/>
    <n v="0"/>
    <s v="NA"/>
    <s v="NA"/>
    <n v="0"/>
    <n v="0"/>
    <n v="1"/>
    <m/>
    <m/>
    <m/>
    <m/>
    <m/>
    <m/>
    <m/>
    <m/>
    <m/>
    <m/>
    <n v="5.1740427422851322E-2"/>
    <n v="5.1786672673630553E-2"/>
    <n v="7.4128451269814776E-4"/>
    <n v="7.4239049740163323E-4"/>
    <s v="NA"/>
    <n v="1349"/>
    <s v="NA"/>
  </r>
  <r>
    <x v="0"/>
    <n v="7"/>
    <n v="1104"/>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9.8500000000000004E-2"/>
    <s v="decrease"/>
    <n v="0.13600000000000001"/>
    <n v="0.1"/>
    <n v="2"/>
    <n v="0.72426470588235292"/>
    <n v="9.8500000000000004E-2"/>
    <n v="0.52460510947254324"/>
    <s v="NA"/>
    <s v="NA"/>
    <s v="NA"/>
    <s v="NA"/>
    <s v="NA"/>
    <s v="NA"/>
    <n v="1350"/>
    <n v="1350"/>
    <s v="NA"/>
    <s v="NA"/>
    <s v="NA"/>
    <s v="NA"/>
    <s v="NA"/>
    <n v="0"/>
    <s v="NA"/>
    <n v="1"/>
    <s v="NA"/>
    <s v="NA"/>
    <n v="0"/>
    <n v="0"/>
    <n v="1"/>
    <m/>
    <m/>
    <m/>
    <m/>
    <m/>
    <m/>
    <m/>
    <m/>
    <m/>
    <m/>
    <n v="1.97081599806469E-2"/>
    <n v="1.9710712201246074E-2"/>
    <n v="7.4128973243757566E-4"/>
    <n v="7.4239049740163323E-4"/>
    <s v="NA"/>
    <n v="1349"/>
    <s v="NA"/>
  </r>
  <r>
    <x v="0"/>
    <n v="7"/>
    <n v="1106"/>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9.98E-2"/>
    <s v="increase"/>
    <n v="0.14899999999999999"/>
    <n v="0.1"/>
    <n v="2"/>
    <n v="0.66979865771812086"/>
    <n v="9.98E-2"/>
    <n v="0.52492931202189808"/>
    <s v="NA"/>
    <s v="NA"/>
    <s v="NA"/>
    <s v="NA"/>
    <s v="NA"/>
    <s v="NA"/>
    <n v="827"/>
    <n v="827"/>
    <s v="NA"/>
    <s v="NA"/>
    <s v="NA"/>
    <s v="NA"/>
    <s v="NA"/>
    <n v="1"/>
    <s v="NA"/>
    <n v="0"/>
    <s v="NA"/>
    <s v="NA"/>
    <n v="0"/>
    <n v="0"/>
    <n v="1"/>
    <m/>
    <m/>
    <m/>
    <m/>
    <m/>
    <m/>
    <m/>
    <m/>
    <m/>
    <m/>
    <n v="2.3284866493189758E-2"/>
    <n v="2.3289076097877604E-2"/>
    <n v="1.2106533968798787E-3"/>
    <n v="1.2135922330097086E-3"/>
    <s v="NA"/>
    <n v="826"/>
    <s v="NA"/>
  </r>
  <r>
    <x v="0"/>
    <n v="7"/>
    <n v="1111"/>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21199999999999999"/>
    <s v="increase"/>
    <n v="0.42499999999999999"/>
    <n v="0.1"/>
    <n v="2"/>
    <n v="0.49882352941176472"/>
    <n v="0.21199999999999999"/>
    <n v="0.55280238544469362"/>
    <s v="NA"/>
    <s v="NA"/>
    <s v="NA"/>
    <s v="NA"/>
    <s v="NA"/>
    <s v="NA"/>
    <n v="421"/>
    <n v="421"/>
    <s v="NA"/>
    <s v="NA"/>
    <s v="NA"/>
    <s v="NA"/>
    <s v="NA"/>
    <n v="1"/>
    <s v="NA"/>
    <n v="1"/>
    <s v="NA"/>
    <s v="NA"/>
    <n v="0"/>
    <n v="0"/>
    <n v="1"/>
    <m/>
    <m/>
    <m/>
    <m/>
    <m/>
    <m/>
    <m/>
    <m/>
    <m/>
    <m/>
    <n v="2.4303990103568901E-2"/>
    <n v="2.4308777125756856E-2"/>
    <n v="2.3809515495655199E-3"/>
    <n v="2.3923444976076554E-3"/>
    <s v="NA"/>
    <n v="420"/>
    <s v="NA"/>
  </r>
  <r>
    <x v="0"/>
    <n v="7"/>
    <n v="1110"/>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33300000000000002"/>
    <s v="decrease"/>
    <n v="0.85399999999999998"/>
    <n v="0.1"/>
    <n v="2"/>
    <n v="0.38992974238875883"/>
    <n v="0.33300000000000002"/>
    <n v="0.58248914351160219"/>
    <s v="NA"/>
    <s v="NA"/>
    <s v="NA"/>
    <s v="NA"/>
    <s v="NA"/>
    <s v="NA"/>
    <n v="421"/>
    <n v="421"/>
    <s v="NA"/>
    <s v="NA"/>
    <s v="NA"/>
    <s v="NA"/>
    <s v="NA"/>
    <n v="0"/>
    <s v="NA"/>
    <n v="1"/>
    <s v="NA"/>
    <s v="NA"/>
    <n v="0"/>
    <n v="0"/>
    <n v="1"/>
    <m/>
    <m/>
    <m/>
    <m/>
    <m/>
    <m/>
    <m/>
    <m/>
    <m/>
    <m/>
    <n v="1.9000582083692302E-2"/>
    <n v="1.900286912258764E-2"/>
    <n v="2.380952070476821E-3"/>
    <n v="2.3923444976076554E-3"/>
    <s v="NA"/>
    <n v="420"/>
    <s v="NA"/>
  </r>
  <r>
    <x v="0"/>
    <n v="7"/>
    <n v="1108"/>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371"/>
    <s v="increase"/>
    <n v="0.20799999999999999"/>
    <n v="0.1"/>
    <n v="1"/>
    <n v="1.7836538461538463"/>
    <n v="0.371"/>
    <n v="0.59170059157021893"/>
    <s v="NA"/>
    <s v="NA"/>
    <s v="NA"/>
    <s v="NA"/>
    <s v="NA"/>
    <s v="NA"/>
    <n v="827"/>
    <n v="827"/>
    <s v="NA"/>
    <s v="NA"/>
    <s v="NA"/>
    <s v="NA"/>
    <s v="NA"/>
    <n v="1"/>
    <s v="NA"/>
    <n v="1"/>
    <s v="NA"/>
    <s v="NA"/>
    <n v="0"/>
    <n v="0"/>
    <n v="1"/>
    <m/>
    <m/>
    <m/>
    <m/>
    <m/>
    <m/>
    <m/>
    <m/>
    <m/>
    <m/>
    <n v="6.1904763633413101E-2"/>
    <n v="6.1984023096366379E-2"/>
    <n v="1.2106358824323096E-3"/>
    <n v="1.2135922330097086E-3"/>
    <s v="NA"/>
    <n v="826"/>
    <s v="NA"/>
  </r>
  <r>
    <x v="0"/>
    <n v="7"/>
    <n v="1107"/>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48599999999999999"/>
    <s v="increase"/>
    <n v="0.20399999999999999"/>
    <n v="0.05"/>
    <n v="1"/>
    <n v="2.3823529411764706"/>
    <n v="0.48599999999999999"/>
    <n v="0.61916368289936063"/>
    <s v="NA"/>
    <s v="NA"/>
    <s v="NA"/>
    <s v="NA"/>
    <s v="NA"/>
    <s v="NA"/>
    <n v="827"/>
    <n v="827"/>
    <s v="NA"/>
    <s v="NA"/>
    <s v="NA"/>
    <s v="NA"/>
    <s v="NA"/>
    <n v="0"/>
    <s v="NA"/>
    <n v="1"/>
    <s v="NA"/>
    <s v="NA"/>
    <n v="0"/>
    <n v="0"/>
    <n v="1"/>
    <m/>
    <m/>
    <m/>
    <m/>
    <m/>
    <m/>
    <m/>
    <m/>
    <m/>
    <m/>
    <n v="8.2559714236340495E-2"/>
    <n v="8.2748063723839957E-2"/>
    <n v="1.2105969918599373E-3"/>
    <n v="1.2135922330097086E-3"/>
    <s v="NA"/>
    <n v="826"/>
    <s v="NA"/>
  </r>
  <r>
    <x v="0"/>
    <n v="7"/>
    <n v="1105"/>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0.48899999999999999"/>
    <s v="decrease"/>
    <n v="0.30299999999999999"/>
    <n v="0.1"/>
    <n v="2"/>
    <n v="1.613861386138614"/>
    <n v="0.48899999999999999"/>
    <n v="0.6198708296204114"/>
    <s v="NA"/>
    <s v="NA"/>
    <s v="NA"/>
    <s v="NA"/>
    <s v="NA"/>
    <s v="NA"/>
    <n v="1350"/>
    <n v="1350"/>
    <s v="NA"/>
    <s v="NA"/>
    <s v="NA"/>
    <s v="NA"/>
    <s v="NA"/>
    <n v="1"/>
    <s v="NA"/>
    <n v="1"/>
    <s v="NA"/>
    <s v="NA"/>
    <n v="0"/>
    <n v="0"/>
    <n v="1"/>
    <m/>
    <m/>
    <m/>
    <m/>
    <m/>
    <m/>
    <m/>
    <m/>
    <m/>
    <m/>
    <n v="4.3881433738989228E-2"/>
    <n v="4.3909632065429631E-2"/>
    <n v="7.4128708865891613E-4"/>
    <n v="7.4239049740163323E-4"/>
    <s v="NA"/>
    <n v="1349"/>
    <s v="NA"/>
  </r>
  <r>
    <x v="0"/>
    <n v="7"/>
    <n v="1109"/>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65100000000000002"/>
    <s v="decrease"/>
    <n v="0.57399999999999995"/>
    <n v="0.1"/>
    <n v="2"/>
    <n v="1.1341463414634148"/>
    <n v="0.65100000000000002"/>
    <n v="0.65723577499294228"/>
    <s v="NA"/>
    <s v="NA"/>
    <s v="NA"/>
    <s v="NA"/>
    <s v="NA"/>
    <s v="NA"/>
    <n v="421"/>
    <n v="421"/>
    <s v="NA"/>
    <s v="NA"/>
    <s v="NA"/>
    <s v="NA"/>
    <s v="NA"/>
    <n v="1"/>
    <s v="NA"/>
    <n v="0"/>
    <s v="NA"/>
    <s v="NA"/>
    <n v="0"/>
    <n v="0"/>
    <n v="1"/>
    <m/>
    <m/>
    <m/>
    <m/>
    <m/>
    <m/>
    <m/>
    <m/>
    <m/>
    <m/>
    <n v="5.5190662378218035E-2"/>
    <n v="5.5246802103969622E-2"/>
    <n v="2.3809302000460694E-3"/>
    <n v="2.3923444976076554E-3"/>
    <s v="NA"/>
    <n v="420"/>
    <s v="NA"/>
  </r>
  <r>
    <x v="0"/>
    <n v="8"/>
    <n v="1157"/>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19"/>
    <s v="decrease"/>
    <n v="7.8512396694214878E-2"/>
    <n v="1.4999999999999999E-2"/>
    <n v="3"/>
    <n v="2.42"/>
    <n v="0.20924959765725148"/>
    <n v="0.54735761814308925"/>
    <s v="NA"/>
    <s v="NA"/>
    <s v="NA"/>
    <s v="NA"/>
    <s v="NA"/>
    <s v="NA"/>
    <n v="2910"/>
    <n v="2910"/>
    <s v="NA"/>
    <s v="NA"/>
    <s v="NA"/>
    <s v="NA"/>
    <s v="NA"/>
    <s v="NA"/>
    <s v="NA"/>
    <s v="NA"/>
    <s v="NA"/>
    <s v="NA"/>
    <n v="0"/>
    <n v="0"/>
    <n v="0"/>
    <m/>
    <m/>
    <m/>
    <m/>
    <m/>
    <m/>
    <m/>
    <m/>
    <m/>
    <m/>
    <n v="4.4815918320490998E-2"/>
    <n v="4.4845958286761807E-2"/>
    <n v="3.4375935209197533E-4"/>
    <n v="3.4399724802201581E-4"/>
    <s v="NA"/>
    <n v="2908"/>
    <s v="NA"/>
  </r>
  <r>
    <x v="0"/>
    <n v="8"/>
    <n v="1158"/>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21"/>
    <s v="decrease"/>
    <n v="7.6363636363636356E-2"/>
    <n v="6.0000000000000001E-3"/>
    <n v="3"/>
    <n v="2.75"/>
    <n v="0.23367805995674318"/>
    <n v="0.5523079095743253"/>
    <s v="NA"/>
    <s v="NA"/>
    <s v="NA"/>
    <s v="NA"/>
    <s v="NA"/>
    <s v="NA"/>
    <n v="2910"/>
    <n v="2910"/>
    <s v="NA"/>
    <s v="NA"/>
    <s v="NA"/>
    <s v="NA"/>
    <s v="NA"/>
    <s v="NA"/>
    <s v="NA"/>
    <s v="NA"/>
    <s v="NA"/>
    <s v="NA"/>
    <n v="0"/>
    <n v="0"/>
    <n v="0"/>
    <m/>
    <m/>
    <m/>
    <m/>
    <m/>
    <m/>
    <m/>
    <m/>
    <m/>
    <m/>
    <n v="5.0912287415050349E-2"/>
    <n v="5.0956345207376796E-2"/>
    <n v="3.4375842486513699E-4"/>
    <n v="3.4399724802201581E-4"/>
    <s v="NA"/>
    <n v="2908"/>
    <s v="NA"/>
  </r>
  <r>
    <x v="3"/>
    <n v="9"/>
    <n v="1248"/>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yes"/>
    <s v="unclear N sample size for this specification"/>
    <n v="0"/>
    <n v="0"/>
    <n v="1"/>
    <n v="0"/>
    <n v="0"/>
    <n v="0"/>
    <n v="0"/>
    <n v="0"/>
    <s v="&quot;Recognize&quot; Energy Label"/>
    <n v="0"/>
    <n v="0"/>
    <n v="0"/>
    <n v="0"/>
    <n v="0"/>
    <n v="1"/>
    <n v="0"/>
    <n v="0"/>
    <n v="0"/>
    <s v="investing in energy-efficient appliances; coefficients are marginal effects"/>
    <x v="0"/>
    <s v="investing in energy-efficient appliances"/>
    <s v="dummy (0/1)"/>
    <n v="0.05"/>
    <s v="increase"/>
    <s v="NA"/>
    <n v="0.01"/>
    <n v="1"/>
    <n v="2.5764354463748322"/>
    <n v="5.1271096376024117E-2"/>
    <n v="0.51249739648421033"/>
    <s v="NA"/>
    <s v="NA"/>
    <s v="NA"/>
    <s v="NA"/>
    <s v="NA"/>
    <s v="NA"/>
    <n v="8115"/>
    <n v="8115"/>
    <s v="NA"/>
    <s v="NA"/>
    <s v="NA"/>
    <s v="NA"/>
    <s v="NA"/>
    <s v="NA"/>
    <s v="NA"/>
    <n v="1"/>
    <s v="NA"/>
    <s v="NA"/>
    <n v="0"/>
    <n v="1"/>
    <n v="1"/>
    <m/>
    <m/>
    <m/>
    <m/>
    <m/>
    <m/>
    <m/>
    <m/>
    <m/>
    <m/>
    <n v="2.8588900354369999E-2"/>
    <n v="2.8596692985986098E-2"/>
    <n v="1.2324369377013031E-4"/>
    <n v="1.232741617357002E-4"/>
    <s v="NA"/>
    <n v="8113"/>
    <s v="NA"/>
  </r>
  <r>
    <x v="3"/>
    <n v="9"/>
    <n v="1247"/>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Recognize&quot; Energy Label"/>
    <n v="1"/>
    <n v="0"/>
    <n v="0"/>
    <n v="1"/>
    <n v="0"/>
    <n v="0"/>
    <n v="0"/>
    <n v="0"/>
    <n v="0"/>
    <s v="investing in energy-efficient appliances; coefficients are marginal effects"/>
    <x v="0"/>
    <s v="investing in energy-efficient appliances"/>
    <s v="dummy (0/1)"/>
    <n v="7.4999999999999997E-2"/>
    <s v="increase"/>
    <s v="NA"/>
    <n v="0.01"/>
    <n v="1"/>
    <n v="2.5764354463748322"/>
    <n v="7.788415088463152E-2"/>
    <n v="0.51874121587853528"/>
    <s v="NA"/>
    <s v="NA"/>
    <s v="NA"/>
    <s v="NA"/>
    <s v="NA"/>
    <s v="NA"/>
    <n v="8115"/>
    <n v="8115"/>
    <s v="NA"/>
    <s v="NA"/>
    <s v="NA"/>
    <s v="NA"/>
    <s v="NA"/>
    <s v="NA"/>
    <s v="NA"/>
    <n v="1"/>
    <s v="NA"/>
    <s v="NA"/>
    <n v="0"/>
    <n v="1"/>
    <n v="1"/>
    <m/>
    <m/>
    <m/>
    <m/>
    <m/>
    <m/>
    <m/>
    <m/>
    <m/>
    <m/>
    <n v="2.8588900354369999E-2"/>
    <n v="2.8596692985986098E-2"/>
    <n v="1.2324369377013031E-4"/>
    <n v="1.232741617357002E-4"/>
    <s v="NA"/>
    <n v="8113"/>
    <s v="NA"/>
  </r>
  <r>
    <x v="3"/>
    <n v="9"/>
    <n v="124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Trust&quot; Energy Label"/>
    <n v="1"/>
    <n v="0"/>
    <n v="0"/>
    <n v="1"/>
    <n v="0"/>
    <n v="0"/>
    <n v="0"/>
    <n v="0"/>
    <n v="0"/>
    <s v="investing in energy-efficient appliances; coefficients are marginal effects"/>
    <x v="0"/>
    <s v="investing in energy-efficient appliances"/>
    <s v="dummy (0/1)"/>
    <n v="8.6999999999999994E-2"/>
    <s v="increase"/>
    <s v="NA"/>
    <n v="0.01"/>
    <n v="1"/>
    <n v="2.5776085962794295"/>
    <n v="9.0896679718277751E-2"/>
    <n v="0.52173629156332213"/>
    <s v="NA"/>
    <s v="NA"/>
    <s v="NA"/>
    <s v="NA"/>
    <s v="NA"/>
    <s v="NA"/>
    <n v="2767"/>
    <n v="2767"/>
    <s v="NA"/>
    <s v="NA"/>
    <s v="NA"/>
    <s v="NA"/>
    <s v="NA"/>
    <s v="NA"/>
    <s v="NA"/>
    <n v="1"/>
    <s v="NA"/>
    <s v="NA"/>
    <n v="0"/>
    <n v="1"/>
    <n v="1"/>
    <m/>
    <m/>
    <m/>
    <m/>
    <m/>
    <m/>
    <m/>
    <m/>
    <m/>
    <m/>
    <n v="4.8943115053431581E-2"/>
    <n v="4.8982251228669553E-2"/>
    <n v="3.6153081834669693E-4"/>
    <n v="3.6179450072358897E-4"/>
    <s v="NA"/>
    <n v="2765"/>
    <s v="NA"/>
  </r>
  <r>
    <x v="3"/>
    <n v="9"/>
    <n v="1231"/>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tank to collect rain water"/>
    <x v="0"/>
    <s v="Water tank to collect rain water"/>
    <s v="dummy (0/1)"/>
    <n v="9.5000000000000001E-2"/>
    <s v="increase"/>
    <s v="NA"/>
    <n v="0.01"/>
    <n v="1"/>
    <n v="2.5767673605962078"/>
    <n v="9.9658855126102841E-2"/>
    <n v="0.52373215412656104"/>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30"/>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flow restrictor taps/low flow shower head"/>
    <x v="0"/>
    <s v="Water flow restrictor taps/low flow shower head"/>
    <s v="dummy (0/1)"/>
    <n v="0.18099999999999999"/>
    <s v="increase"/>
    <s v="NA"/>
    <n v="0.01"/>
    <n v="1"/>
    <n v="2.5767673605962078"/>
    <n v="0.19841517929319963"/>
    <n v="0.5451268671091033"/>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2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Low volume or dual flush toilets"/>
    <x v="0"/>
    <s v="Low volume or dual flush toilets"/>
    <s v="dummy (0/1)"/>
    <n v="0.191"/>
    <s v="increase"/>
    <s v="NA"/>
    <n v="0.01"/>
    <n v="1"/>
    <n v="2.5767673605962078"/>
    <n v="0.21045945208129946"/>
    <n v="0.54760536364581069"/>
    <s v="NA"/>
    <s v="NA"/>
    <s v="NA"/>
    <s v="NA"/>
    <s v="NA"/>
    <s v="NA"/>
    <n v="5245"/>
    <n v="5245"/>
    <s v="NA"/>
    <s v="NA"/>
    <s v="NA"/>
    <s v="NA"/>
    <s v="NA"/>
    <s v="NA"/>
    <s v="NA"/>
    <n v="1"/>
    <s v="NA"/>
    <s v="NA"/>
    <n v="0"/>
    <n v="1"/>
    <n v="1"/>
    <m/>
    <m/>
    <m/>
    <m/>
    <m/>
    <m/>
    <m/>
    <m/>
    <m/>
    <m/>
    <n v="3.5557215848955014E-2"/>
    <n v="3.5572212407713834E-2"/>
    <n v="1.9069382128292258E-4"/>
    <n v="1.9076688286913393E-4"/>
    <s v="NA"/>
    <n v="5243"/>
    <s v="odd dep_var"/>
  </r>
  <r>
    <x v="0"/>
    <m/>
    <s v="NA"/>
    <s v="NA"/>
    <s v="Dong, Futawatari"/>
    <n v="2013"/>
    <s v="The study of low-carbon policy influence on consumers' energy efficiency household appliance purchase behavior"/>
    <s v="Sequences of low carbon policies are aimed at reducing greenhouse gases and increasing energy_x000a_efficiency—also in the household sector in China. However, not all the policies are useful to guideconsumers’_x000a_purchase behavior. Consumer’s environmental friendly purchase behavior is affected not only by personal_x000a_influence but also by external environmental forces. While information provision policies may be effective in_x000a_encouraging certain consumers to understand the energy effiency household appliance, but not promote_x000a_purchases; fiscal incentive may be more attractive during pre-purchase period (information collection);_x000a_regulation instrument regards as the most effectivelyinstrument to influence consumers’ energy efficiency_x000a_household appliance purchase behavior, but useless to advance citizen’s environmental awareness. Analysis of a_x000a_survey dataset of Chinese households observes considerable heterogeneity in terms of influence of three policy_x000a_instruments, in line with our conjectures."/>
    <n v="2"/>
    <n v="2012"/>
    <x v="6"/>
    <m/>
    <x v="13"/>
    <x v="4"/>
    <x v="13"/>
    <s v="stated preference"/>
    <s v="household"/>
    <m/>
    <n v="1"/>
    <s v="opt_in"/>
    <n v="1"/>
    <s v="probably no"/>
    <s v="probably no"/>
    <s v="no appliance breakdown, some data dropped from the study halfway through, no uncertainty specifications"/>
    <m/>
    <m/>
    <m/>
    <m/>
    <m/>
    <m/>
    <m/>
    <m/>
    <m/>
    <m/>
    <m/>
    <m/>
    <m/>
    <m/>
    <m/>
    <m/>
    <m/>
    <m/>
    <m/>
    <x v="3"/>
    <m/>
    <m/>
    <m/>
    <m/>
    <m/>
    <m/>
    <m/>
    <m/>
    <m/>
    <m/>
    <m/>
    <m/>
    <m/>
    <m/>
    <m/>
    <m/>
    <m/>
    <m/>
    <m/>
    <m/>
    <m/>
    <m/>
    <m/>
    <m/>
    <m/>
    <m/>
    <m/>
    <m/>
    <n v="0"/>
    <n v="1"/>
    <n v="1"/>
    <m/>
    <m/>
    <m/>
    <m/>
    <m/>
    <m/>
    <m/>
    <m/>
    <m/>
    <m/>
    <m/>
    <m/>
    <m/>
    <m/>
    <m/>
    <m/>
    <m/>
  </r>
  <r>
    <x v="3"/>
    <m/>
    <n v="1241"/>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55700000000000005"/>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2"/>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58"/>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3"/>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17"/>
    <s v="increase"/>
    <e v="#VALUE!"/>
    <n v="0.311"/>
    <n v="3"/>
    <s v="NA"/>
    <s v="NA"/>
    <m/>
    <s v="NA"/>
    <s v="NA"/>
    <s v="NA"/>
    <s v="NA"/>
    <s v="NA"/>
    <s v="NA"/>
    <n v="1099"/>
    <n v="13188"/>
    <s v="NA"/>
    <s v="NA"/>
    <s v="NA"/>
    <s v="NA"/>
    <s v="NA"/>
    <s v="NA"/>
    <s v="NA"/>
    <n v="1"/>
    <n v="1"/>
    <s v="alphabetical with +"/>
    <n v="0"/>
    <n v="0"/>
    <n v="0"/>
    <m/>
    <m/>
    <m/>
    <m/>
    <m/>
    <m/>
    <m/>
    <m/>
    <m/>
    <m/>
    <e v="#VALUE!"/>
    <e v="#VALUE!"/>
    <e v="#VALUE!"/>
    <n v="9.1240875912408756E-4"/>
    <e v="#VALUE!"/>
    <m/>
    <m/>
  </r>
  <r>
    <x v="3"/>
    <m/>
    <n v="1244"/>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1140000000000001"/>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5"/>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6.0999999999999999E-2"/>
    <s v="decrease"/>
    <e v="#VALUE!"/>
    <n v="0.71299999999999997"/>
    <n v="3"/>
    <s v="NA"/>
    <s v="NA"/>
    <m/>
    <s v="NA"/>
    <s v="NA"/>
    <s v="NA"/>
    <s v="NA"/>
    <s v="NA"/>
    <s v="NA"/>
    <n v="1099"/>
    <n v="13188"/>
    <s v="NA"/>
    <s v="NA"/>
    <s v="NA"/>
    <s v="NA"/>
    <s v="NA"/>
    <s v="NA"/>
    <s v="NA"/>
    <n v="1"/>
    <n v="1"/>
    <s v="alphabetical with +"/>
    <n v="0"/>
    <n v="0"/>
    <n v="0"/>
    <m/>
    <m/>
    <m/>
    <m/>
    <m/>
    <m/>
    <m/>
    <m/>
    <m/>
    <m/>
    <e v="#VALUE!"/>
    <e v="#VALUE!"/>
    <e v="#VALUE!"/>
    <n v="9.1240875912408756E-4"/>
    <e v="#VALUE!"/>
    <m/>
    <m/>
  </r>
  <r>
    <x v="3"/>
    <m/>
    <n v="1246"/>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2E-3"/>
    <s v="decrease"/>
    <e v="#VALUE!"/>
    <n v="0.99199999999999999"/>
    <n v="3"/>
    <s v="NA"/>
    <s v="NA"/>
    <m/>
    <s v="NA"/>
    <s v="NA"/>
    <s v="NA"/>
    <s v="NA"/>
    <s v="NA"/>
    <s v="NA"/>
    <n v="1099"/>
    <n v="13188"/>
    <s v="NA"/>
    <s v="NA"/>
    <s v="NA"/>
    <s v="NA"/>
    <s v="NA"/>
    <s v="NA"/>
    <s v="NA"/>
    <n v="1"/>
    <n v="1"/>
    <s v="alphabetical with +"/>
    <n v="0"/>
    <n v="0"/>
    <n v="0"/>
    <m/>
    <m/>
    <m/>
    <m/>
    <m/>
    <m/>
    <m/>
    <m/>
    <m/>
    <m/>
    <e v="#VALUE!"/>
    <e v="#VALUE!"/>
    <e v="#VALUE!"/>
    <n v="9.1240875912408756E-4"/>
    <e v="#VALUE!"/>
    <m/>
    <m/>
  </r>
  <r>
    <x v="0"/>
    <n v="10"/>
    <n v="1017"/>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4.0000000000000001E-3"/>
    <s v="increase"/>
    <n v="0.121"/>
    <n v="0.1"/>
    <n v="2"/>
    <n v="3.3057851239669422E-2"/>
    <n v="4.0080106773419111E-3"/>
    <n v="0.50099999866666878"/>
    <s v="NA"/>
    <n v="71"/>
    <s v="NA"/>
    <s v="NA"/>
    <n v="85"/>
    <s v="NA"/>
    <n v="156"/>
    <n v="156"/>
    <s v="NA"/>
    <s v="NA"/>
    <s v="NA"/>
    <s v="NA"/>
    <s v="NA"/>
    <s v="NA"/>
    <s v="NA"/>
    <s v="NA"/>
    <s v="NA"/>
    <s v="NA"/>
    <n v="1"/>
    <n v="0"/>
    <n v="1"/>
    <m/>
    <m/>
    <m/>
    <m/>
    <m/>
    <m/>
    <m/>
    <m/>
    <m/>
    <m/>
    <n v="2.646737073353082E-3"/>
    <n v="2.6467432537016708E-3"/>
    <n v="6.4516129029092029E-3"/>
    <n v="6.5359477124183009E-3"/>
    <s v="NA"/>
    <n v="154"/>
    <s v="NA"/>
  </r>
  <r>
    <x v="0"/>
    <n v="10"/>
    <n v="1014"/>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5.0000000000000001E-3"/>
    <s v="decrease"/>
    <n v="0.109"/>
    <n v="0.1"/>
    <n v="2"/>
    <n v="4.5871559633027525E-2"/>
    <n v="5.0125208594009596E-3"/>
    <n v="0.50124999739583986"/>
    <s v="NA"/>
    <n v="71"/>
    <s v="NA"/>
    <s v="NA"/>
    <n v="85"/>
    <s v="NA"/>
    <n v="156"/>
    <n v="156"/>
    <s v="NA"/>
    <s v="NA"/>
    <s v="NA"/>
    <s v="NA"/>
    <s v="NA"/>
    <s v="NA"/>
    <s v="NA"/>
    <s v="NA"/>
    <s v="NA"/>
    <s v="NA"/>
    <n v="0"/>
    <n v="0"/>
    <n v="0"/>
    <m/>
    <m/>
    <m/>
    <m/>
    <m/>
    <m/>
    <m/>
    <m/>
    <m/>
    <m/>
    <n v="3.6726393090550187E-3"/>
    <n v="3.6726558217171222E-3"/>
    <n v="6.4516129020520197E-3"/>
    <n v="6.5359477124183009E-3"/>
    <s v="NA"/>
    <n v="154"/>
    <s v="NA"/>
  </r>
  <r>
    <x v="0"/>
    <n v="10"/>
    <n v="1016"/>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14"/>
    <s v="increase"/>
    <n v="8.7999999999999995E-2"/>
    <n v="0.05"/>
    <n v="1"/>
    <n v="2.4318181818181821"/>
    <n v="0.23862265479345224"/>
    <n v="0.55329675688810287"/>
    <s v="NA"/>
    <n v="71"/>
    <s v="NA"/>
    <s v="NA"/>
    <n v="84"/>
    <s v="NA"/>
    <n v="155"/>
    <n v="155"/>
    <s v="NA"/>
    <s v="NA"/>
    <s v="NA"/>
    <s v="NA"/>
    <s v="NA"/>
    <s v="NA"/>
    <s v="NA"/>
    <s v="NA"/>
    <s v="NA"/>
    <s v="NA"/>
    <n v="0"/>
    <n v="0"/>
    <n v="0"/>
    <m/>
    <m/>
    <m/>
    <m/>
    <m/>
    <m/>
    <m/>
    <m/>
    <m/>
    <m/>
    <n v="0.19170548423159203"/>
    <n v="0.1941071241446195"/>
    <n v="6.4842883135948935E-3"/>
    <n v="6.5789473684210523E-3"/>
    <s v="NA"/>
    <n v="153"/>
    <s v="NA"/>
  </r>
  <r>
    <x v="0"/>
    <n v="10"/>
    <n v="1019"/>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2500000000000001"/>
    <s v="increase"/>
    <n v="8.5999999999999993E-2"/>
    <n v="0.01"/>
    <n v="1"/>
    <n v="2.6162790697674421"/>
    <n v="0.25232271619186442"/>
    <n v="0.55601389054461992"/>
    <s v="NA"/>
    <n v="71"/>
    <s v="NA"/>
    <s v="NA"/>
    <n v="84"/>
    <s v="NA"/>
    <n v="155"/>
    <n v="155"/>
    <s v="NA"/>
    <s v="NA"/>
    <s v="NA"/>
    <s v="NA"/>
    <s v="NA"/>
    <s v="NA"/>
    <s v="NA"/>
    <s v="NA"/>
    <s v="NA"/>
    <s v="NA"/>
    <n v="1"/>
    <n v="0"/>
    <n v="1"/>
    <m/>
    <m/>
    <m/>
    <m/>
    <m/>
    <m/>
    <m/>
    <m/>
    <m/>
    <m/>
    <n v="0.2056527568985681"/>
    <n v="0.20862785334941172"/>
    <n v="6.4812046998817896E-3"/>
    <n v="6.5789473684210523E-3"/>
    <s v="NA"/>
    <n v="153"/>
    <s v="NA"/>
  </r>
  <r>
    <x v="0"/>
    <n v="10"/>
    <n v="1015"/>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1699999999999999"/>
    <s v="increase"/>
    <n v="0.121"/>
    <n v="0.01"/>
    <n v="1"/>
    <n v="5.0991735537190079"/>
    <n v="0.85335961453808529"/>
    <n v="0.64953593830061807"/>
    <s v="NA"/>
    <n v="71"/>
    <s v="NA"/>
    <s v="NA"/>
    <n v="77"/>
    <s v="NA"/>
    <n v="148"/>
    <n v="148"/>
    <s v="NA"/>
    <s v="NA"/>
    <s v="NA"/>
    <s v="NA"/>
    <s v="NA"/>
    <s v="NA"/>
    <s v="NA"/>
    <s v="NA"/>
    <s v="NA"/>
    <s v="NA"/>
    <n v="0"/>
    <n v="0"/>
    <n v="0"/>
    <m/>
    <m/>
    <m/>
    <m/>
    <m/>
    <m/>
    <m/>
    <m/>
    <m/>
    <m/>
    <n v="0.38656560447568655"/>
    <n v="0.40775592843557701"/>
    <n v="6.6146665576027192E-3"/>
    <n v="6.8965517241379309E-3"/>
    <s v="NA"/>
    <n v="146"/>
    <s v="NA"/>
  </r>
  <r>
    <x v="0"/>
    <n v="10"/>
    <n v="1018"/>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29"/>
    <s v="increase"/>
    <n v="0.121"/>
    <n v="0.01"/>
    <n v="1"/>
    <n v="5.1983471074380168"/>
    <n v="0.87573390717751165"/>
    <n v="0.65226268066592974"/>
    <s v="NA"/>
    <n v="71"/>
    <s v="NA"/>
    <s v="NA"/>
    <n v="77"/>
    <s v="NA"/>
    <n v="148"/>
    <n v="148"/>
    <s v="NA"/>
    <s v="NA"/>
    <s v="NA"/>
    <s v="NA"/>
    <s v="NA"/>
    <s v="NA"/>
    <s v="NA"/>
    <s v="NA"/>
    <s v="NA"/>
    <s v="NA"/>
    <n v="1"/>
    <n v="0"/>
    <n v="1"/>
    <m/>
    <m/>
    <m/>
    <m/>
    <m/>
    <m/>
    <m/>
    <m/>
    <m/>
    <m/>
    <n v="0.3929324948845429"/>
    <n v="0.41526325821269588"/>
    <n v="6.6004300266440307E-3"/>
    <n v="6.8965517241379309E-3"/>
    <s v="NA"/>
    <n v="146"/>
    <s v="NA"/>
  </r>
  <r>
    <x v="3"/>
    <m/>
    <n v="1232"/>
    <n v="304"/>
    <s v="Galarraga, Gonzalez-Eguino, Markandya"/>
    <n v="2011"/>
    <s v="Willingness to pay and price elasticities of demand for energy-efficient appliances: Combining the hedonic approach and demand systems"/>
    <s v="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
    <n v="2"/>
    <n v="2009"/>
    <x v="0"/>
    <s v="S69"/>
    <x v="4"/>
    <x v="5"/>
    <x v="11"/>
    <s v="revealed preference"/>
    <s v="retailer"/>
    <s v="store visitors"/>
    <n v="0"/>
    <s v="no such option"/>
    <n v="0"/>
    <s v="probably yes"/>
    <s v="probably no"/>
    <s v="Market prices do not reveal much on consumer behavior"/>
    <n v="0"/>
    <n v="0"/>
    <n v="1"/>
    <n v="0"/>
    <n v="0"/>
    <n v="0"/>
    <n v="0"/>
    <n v="0"/>
    <s v="impossible to separate the effect of the label from energy efficiency"/>
    <n v="0"/>
    <n v="0"/>
    <n v="1"/>
    <n v="0"/>
    <n v="0"/>
    <n v="0"/>
    <n v="0"/>
    <n v="0"/>
    <n v="0"/>
    <s v="lprice"/>
    <x v="2"/>
    <s v="estimated price-premium for the most energy-efficient refrigerators"/>
    <s v="log scale"/>
    <n v="0.156"/>
    <s v="increase"/>
    <e v="#VALUE!"/>
    <n v="0.08"/>
    <n v="3"/>
    <s v="NA"/>
    <s v="NA"/>
    <m/>
    <s v="NA"/>
    <s v="NA"/>
    <s v="NA"/>
    <s v="NA"/>
    <s v="NA"/>
    <s v="NA"/>
    <n v="318"/>
    <n v="318"/>
    <s v="NA"/>
    <s v="NA"/>
    <s v="NA"/>
    <s v="NA"/>
    <s v="NA"/>
    <s v="NA"/>
    <s v="NA"/>
    <n v="1"/>
    <s v="NA"/>
    <s v="binary"/>
    <n v="0"/>
    <n v="0"/>
    <n v="0"/>
    <m/>
    <m/>
    <m/>
    <m/>
    <m/>
    <m/>
    <m/>
    <m/>
    <m/>
    <m/>
    <e v="#VALUE!"/>
    <e v="#VALUE!"/>
    <e v="#VALUE!"/>
    <n v="3.1746031746031746E-3"/>
    <e v="#VALUE!"/>
    <m/>
    <m/>
  </r>
  <r>
    <x v="0"/>
    <m/>
    <n v="1013"/>
    <n v="104"/>
    <s v="Galarraga, Heres, Gonzalez-Eguino"/>
    <n v="2011"/>
    <s v="Price premium for high-efficiency refrigerators and calculation of price-elasticities_x000a_for close-substitutes: a methodology using hedonic pricing and demand systems"/>
    <s v="This article uses the hedonic method to estimate the price premium paid for the highest energyefficiency_x000a_label (Aþ) in the refrigerators market of the Basque Autonomous Community (Spain). The_x000a_estimated figure is 8.9% of the final price or about 60 euro, which represents one third of the energy_x000a_savings that a consumer obtains during the lifetime of a refrigerator with the highest energy-efficiency_x000a_label. This figure is then combined with the linear version of the Almost Ideal Demand System (LA/AIDS)_x000a_to obtain own and cross-price elasticities of demand. The method presented here could be useful for_x000a_policy design and analysis. Our results indicate that the demand for refrigerators with the highest_x000a_energy-efficiency label is highly sensitive to price variations."/>
    <n v="2"/>
    <n v="2009"/>
    <x v="0"/>
    <n v="2077"/>
    <x v="4"/>
    <x v="3"/>
    <x v="11"/>
    <s v="revealed preference"/>
    <s v="retailer"/>
    <s v="store visitors"/>
    <n v="0"/>
    <s v="no such option"/>
    <n v="0"/>
    <s v="probably no"/>
    <s v="probably no"/>
    <s v="not in meta regression - ? dynamics rather than demand"/>
    <n v="0"/>
    <n v="0"/>
    <n v="1"/>
    <n v="0"/>
    <n v="0"/>
    <n v="0"/>
    <n v="0"/>
    <n v="0"/>
    <s v="impossible to separate the effect of the label from energy efficiency"/>
    <n v="0"/>
    <n v="0"/>
    <n v="0"/>
    <n v="1"/>
    <n v="0"/>
    <n v="0"/>
    <n v="0"/>
    <n v="0"/>
    <n v="0"/>
    <s v="lprice"/>
    <x v="2"/>
    <s v="estimated price-premium for the most energy-efficient refrigerators"/>
    <s v="log scale"/>
    <n v="8.8999999999999996E-2"/>
    <s v="increase"/>
    <n v="2.1999999999999999E-2"/>
    <n v="0.01"/>
    <n v="1"/>
    <n v="4.0454545454545459"/>
    <s v="NA"/>
    <m/>
    <s v="NA"/>
    <s v="NA"/>
    <s v="NA"/>
    <s v="NA"/>
    <s v="NA"/>
    <s v="NA"/>
    <n v="676"/>
    <n v="676"/>
    <s v="NA"/>
    <s v="NA"/>
    <s v="NA"/>
    <s v="NA"/>
    <s v="NA"/>
    <s v="NA"/>
    <s v="NA"/>
    <s v="NA"/>
    <s v="NA"/>
    <s v="alphabetical with +"/>
    <n v="0"/>
    <n v="0"/>
    <n v="0"/>
    <m/>
    <m/>
    <m/>
    <m/>
    <m/>
    <m/>
    <m/>
    <m/>
    <m/>
    <m/>
    <n v="0.15374448735583945"/>
    <n v="0.15497333468721167"/>
    <n v="1.4806269577269365E-3"/>
    <n v="1.4858841010401188E-3"/>
    <m/>
    <m/>
    <m/>
  </r>
  <r>
    <x v="0"/>
    <m/>
    <s v="NA"/>
    <s v="NA"/>
    <s v="Gana, Hoppe"/>
    <n v="2017"/>
    <s v="Assessment of the Governance System Regarding_x000a_Adoption of Energy Efficient Appliances by_x000a_Households in Nigeria"/>
    <s v="The adoption of energy efficient electrical appliances by households has a great potential_x000a_to reduce electricity consumption in Nigeria. A well-formulated and implemented policy (mix) to_x000a_spur adoption is said to be required to drive this process. This article presents an assessment_x000a_of policies that aim to spur adoption among households, and the related governance system._x000a_The analytical framework used for this analysis is the Governance Assessment Tool (GAT). Data_x000a_collection involved semi-structured interviews, a review of policy documents, and secondary_x000a_quantitative data. The results show that policies in Nigeria had little effect in meeting pre-set_x000a_goals. The governance system was found to be weakly developed due to a lack of policy, the_x000a_overlapping work of different governmental organizations, a lack of appropriate resources, and a_x000a_lack of householders’ involvement in agenda-setting and decision-making processes. Current actions_x000a_mostly depend on local programmes that run via donor aid. They include the free exchange of CFL_x000a_bulbs and metering studies of end user energy consumption. The results add further insight in the_x000a_fields of governance and policy on energy efficiency issues in developing countries. This article also_x000a_provides suggestions for the design of policies that target the adoption of energy efficient electrical_x000a_appliances among households in Nigeria."/>
    <n v="2"/>
    <n v="2009"/>
    <x v="3"/>
    <n v="9"/>
    <x v="3"/>
    <x v="0"/>
    <x v="15"/>
    <s v="revealed preference"/>
    <s v="household"/>
    <m/>
    <m/>
    <m/>
    <m/>
    <m/>
    <m/>
    <m/>
    <n v="0"/>
    <n v="0"/>
    <n v="0"/>
    <n v="0"/>
    <n v="0"/>
    <n v="1"/>
    <n v="0"/>
    <n v="0"/>
    <s v="free exchange for a CFL - full subsidy"/>
    <n v="0"/>
    <n v="0"/>
    <n v="0"/>
    <n v="0"/>
    <n v="0"/>
    <n v="1"/>
    <n v="0"/>
    <n v="0"/>
    <n v="0"/>
    <m/>
    <x v="3"/>
    <m/>
    <m/>
    <m/>
    <m/>
    <m/>
    <m/>
    <m/>
    <m/>
    <m/>
    <m/>
    <m/>
    <m/>
    <m/>
    <m/>
    <m/>
    <m/>
    <m/>
    <m/>
    <m/>
    <m/>
    <m/>
    <m/>
    <m/>
    <m/>
    <m/>
    <m/>
    <m/>
    <m/>
    <n v="0"/>
    <m/>
    <n v="0"/>
    <m/>
    <m/>
    <m/>
    <m/>
    <m/>
    <m/>
    <m/>
    <m/>
    <m/>
    <m/>
    <m/>
    <m/>
    <m/>
    <m/>
    <m/>
    <m/>
    <m/>
  </r>
  <r>
    <x v="0"/>
    <n v="11"/>
    <n v="1026"/>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1.7999999999999999E-2"/>
    <s v="increase"/>
    <s v="NA"/>
    <n v="0.05"/>
    <n v="2"/>
    <n v="1.962795497038498"/>
    <n v="1.8162976389793695E-2"/>
    <n v="0.50449987850393641"/>
    <s v="NA"/>
    <s v="NA"/>
    <s v="NA"/>
    <s v="NA"/>
    <n v="40"/>
    <s v="NA"/>
    <n v="841"/>
    <n v="841"/>
    <s v="NA"/>
    <s v="NA"/>
    <n v="235.29"/>
    <s v="from 0,05 to 0,1"/>
    <s v="NA"/>
    <s v="NA"/>
    <s v="NA"/>
    <s v="NA"/>
    <s v="NA"/>
    <s v="NA"/>
    <n v="1"/>
    <n v="1"/>
    <n v="1"/>
    <m/>
    <m/>
    <m/>
    <m/>
    <m/>
    <m/>
    <m/>
    <m/>
    <m/>
    <m/>
    <n v="6.7528109143524445E-2"/>
    <n v="6.7631034648244742E-2"/>
    <n v="1.190451284427091E-3"/>
    <n v="1.1933174224343676E-3"/>
    <s v="NA"/>
    <n v="839"/>
    <s v="NA"/>
  </r>
  <r>
    <x v="0"/>
    <n v="11"/>
    <n v="103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1999999999999998E-2"/>
    <s v="decrease"/>
    <s v="NA"/>
    <n v="0.05"/>
    <n v="2"/>
    <n v="1.962795497038498"/>
    <n v="5.3375742513364743E-2"/>
    <n v="0.51299707145854179"/>
    <s v="NA"/>
    <s v="NA"/>
    <s v="NA"/>
    <s v="NA"/>
    <n v="66"/>
    <s v="NA"/>
    <n v="841"/>
    <n v="841"/>
    <s v="NA"/>
    <s v="NA"/>
    <n v="0"/>
    <n v="0"/>
    <s v="NA"/>
    <s v="NA"/>
    <s v="NA"/>
    <s v="NA"/>
    <s v="NA"/>
    <s v="NA"/>
    <n v="1"/>
    <n v="1"/>
    <n v="1"/>
    <m/>
    <m/>
    <m/>
    <m/>
    <m/>
    <m/>
    <m/>
    <m/>
    <m/>
    <m/>
    <n v="6.7528109143524445E-2"/>
    <n v="6.7631034648244742E-2"/>
    <n v="1.190451284427091E-3"/>
    <n v="1.1933174224343676E-3"/>
    <s v="NA"/>
    <n v="839"/>
    <s v="NA"/>
  </r>
  <r>
    <x v="0"/>
    <n v="11"/>
    <n v="103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2999999999999999E-2"/>
    <s v="increase"/>
    <s v="NA"/>
    <n v="0.05"/>
    <n v="2"/>
    <n v="1.962795497038498"/>
    <n v="5.4429645119355996E-2"/>
    <n v="0.51324689926682643"/>
    <s v="NA"/>
    <s v="NA"/>
    <s v="NA"/>
    <s v="NA"/>
    <n v="60"/>
    <s v="NA"/>
    <n v="841"/>
    <n v="841"/>
    <s v="NA"/>
    <s v="NA"/>
    <n v="0"/>
    <n v="0"/>
    <s v="NA"/>
    <s v="NA"/>
    <s v="NA"/>
    <s v="NA"/>
    <s v="NA"/>
    <s v="NA"/>
    <n v="1"/>
    <n v="1"/>
    <n v="1"/>
    <m/>
    <m/>
    <m/>
    <m/>
    <m/>
    <m/>
    <m/>
    <m/>
    <m/>
    <m/>
    <n v="6.7528109143524445E-2"/>
    <n v="6.7631034648244742E-2"/>
    <n v="1.190451284427091E-3"/>
    <n v="1.1933174224343676E-3"/>
    <s v="NA"/>
    <n v="839"/>
    <s v="NA"/>
  </r>
  <r>
    <x v="0"/>
    <n v="11"/>
    <n v="102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0499999999999999"/>
    <s v="increase"/>
    <s v="NA"/>
    <n v="0.05"/>
    <n v="2"/>
    <n v="1.962795497038498"/>
    <n v="0.2275250649631777"/>
    <n v="0.55107126930734196"/>
    <s v="NA"/>
    <s v="NA"/>
    <s v="NA"/>
    <s v="NA"/>
    <n v="54"/>
    <s v="NA"/>
    <n v="841"/>
    <n v="841"/>
    <s v="NA"/>
    <s v="NA"/>
    <n v="235.29"/>
    <s v="from 0,05 to 0,1"/>
    <s v="NA"/>
    <s v="NA"/>
    <s v="NA"/>
    <s v="NA"/>
    <s v="NA"/>
    <s v="NA"/>
    <n v="1"/>
    <n v="1"/>
    <n v="1"/>
    <m/>
    <m/>
    <m/>
    <m/>
    <m/>
    <m/>
    <m/>
    <m/>
    <m/>
    <m/>
    <n v="6.7528109143524445E-2"/>
    <n v="6.7631034648244742E-2"/>
    <n v="1.190451284427091E-3"/>
    <n v="1.1933174224343676E-3"/>
    <s v="NA"/>
    <n v="839"/>
    <s v="NA"/>
  </r>
  <r>
    <x v="0"/>
    <n v="11"/>
    <n v="102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18"/>
    <s v="increase"/>
    <s v="NA"/>
    <n v="0.05"/>
    <n v="2"/>
    <n v="1.962795497038498"/>
    <n v="0.2435870676190619"/>
    <n v="0.55428518267346782"/>
    <s v="NA"/>
    <s v="NA"/>
    <s v="NA"/>
    <s v="NA"/>
    <n v="48"/>
    <s v="NA"/>
    <n v="841"/>
    <n v="841"/>
    <s v="NA"/>
    <s v="NA"/>
    <n v="235.29"/>
    <s v="from 0,05 to 0,1"/>
    <s v="NA"/>
    <s v="NA"/>
    <s v="NA"/>
    <s v="NA"/>
    <s v="NA"/>
    <s v="NA"/>
    <n v="1"/>
    <n v="1"/>
    <n v="1"/>
    <m/>
    <m/>
    <m/>
    <m/>
    <m/>
    <m/>
    <m/>
    <m/>
    <m/>
    <m/>
    <n v="6.7528109143524445E-2"/>
    <n v="6.7631034648244742E-2"/>
    <n v="1.190451284427091E-3"/>
    <n v="1.1933174224343676E-3"/>
    <s v="NA"/>
    <n v="839"/>
    <s v="NA"/>
  </r>
  <r>
    <x v="0"/>
    <n v="11"/>
    <n v="103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35199999999999998"/>
    <s v="decrease"/>
    <s v="NA"/>
    <n v="0.05"/>
    <n v="2"/>
    <n v="1.962795497038498"/>
    <n v="0.42190852371857734"/>
    <n v="0.58710248954216959"/>
    <s v="NA"/>
    <s v="NA"/>
    <s v="NA"/>
    <s v="NA"/>
    <n v="60"/>
    <s v="NA"/>
    <n v="841"/>
    <n v="841"/>
    <s v="NA"/>
    <s v="NA"/>
    <n v="235.29"/>
    <s v="from 0,05 to 0,1"/>
    <s v="NA"/>
    <s v="NA"/>
    <s v="NA"/>
    <s v="NA"/>
    <s v="NA"/>
    <s v="NA"/>
    <n v="1"/>
    <n v="1"/>
    <n v="1"/>
    <m/>
    <m/>
    <m/>
    <m/>
    <m/>
    <m/>
    <m/>
    <m/>
    <m/>
    <m/>
    <n v="6.7528109143524445E-2"/>
    <n v="6.7631034648244742E-2"/>
    <n v="1.190451284427091E-3"/>
    <n v="1.1933174224343676E-3"/>
    <s v="NA"/>
    <n v="839"/>
    <s v="NA"/>
  </r>
  <r>
    <x v="0"/>
    <n v="11"/>
    <n v="102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6899999999999997"/>
    <s v="increase"/>
    <s v="NA"/>
    <n v="0.05"/>
    <n v="2"/>
    <n v="1.962795497038498"/>
    <n v="0.59839499875464042"/>
    <n v="0.61514704250921037"/>
    <s v="NA"/>
    <s v="NA"/>
    <s v="NA"/>
    <s v="NA"/>
    <n v="48"/>
    <s v="NA"/>
    <n v="841"/>
    <n v="841"/>
    <s v="NA"/>
    <s v="NA"/>
    <n v="0"/>
    <n v="0"/>
    <s v="NA"/>
    <s v="NA"/>
    <s v="NA"/>
    <s v="NA"/>
    <s v="NA"/>
    <s v="NA"/>
    <n v="1"/>
    <n v="1"/>
    <n v="1"/>
    <m/>
    <m/>
    <m/>
    <m/>
    <m/>
    <m/>
    <m/>
    <m/>
    <m/>
    <m/>
    <n v="6.7528109143524445E-2"/>
    <n v="6.7631034648244742E-2"/>
    <n v="1.190451284427091E-3"/>
    <n v="1.1933174224343676E-3"/>
    <s v="NA"/>
    <n v="839"/>
    <s v="NA"/>
  </r>
  <r>
    <x v="0"/>
    <n v="11"/>
    <n v="1029"/>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47199999999999998"/>
    <s v="decrease"/>
    <s v="NA"/>
    <n v="0.05"/>
    <n v="2"/>
    <n v="1.962795497038498"/>
    <n v="0.60319738372657405"/>
    <n v="0.61585702019703836"/>
    <s v="NA"/>
    <s v="NA"/>
    <s v="NA"/>
    <s v="NA"/>
    <n v="66"/>
    <s v="NA"/>
    <n v="841"/>
    <n v="841"/>
    <s v="NA"/>
    <s v="NA"/>
    <n v="235.29"/>
    <s v="from 0,05 to 0,1"/>
    <s v="NA"/>
    <s v="NA"/>
    <s v="NA"/>
    <s v="NA"/>
    <s v="NA"/>
    <s v="NA"/>
    <n v="1"/>
    <n v="1"/>
    <n v="1"/>
    <m/>
    <m/>
    <m/>
    <m/>
    <m/>
    <m/>
    <m/>
    <m/>
    <m/>
    <m/>
    <n v="6.7528109143524445E-2"/>
    <n v="6.7631034648244742E-2"/>
    <n v="1.190451284427091E-3"/>
    <n v="1.1933174224343676E-3"/>
    <s v="NA"/>
    <n v="839"/>
    <s v="NA"/>
  </r>
  <r>
    <x v="0"/>
    <n v="11"/>
    <n v="102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7799999999999998"/>
    <s v="increase"/>
    <s v="NA"/>
    <n v="0.05"/>
    <n v="2"/>
    <n v="1.962795497038498"/>
    <n v="0.61284548338362299"/>
    <n v="0.61727549280679062"/>
    <s v="NA"/>
    <s v="NA"/>
    <s v="NA"/>
    <s v="NA"/>
    <n v="54"/>
    <s v="NA"/>
    <n v="841"/>
    <n v="841"/>
    <s v="NA"/>
    <s v="NA"/>
    <n v="0"/>
    <n v="0"/>
    <s v="NA"/>
    <s v="NA"/>
    <s v="NA"/>
    <s v="NA"/>
    <s v="NA"/>
    <s v="NA"/>
    <n v="1"/>
    <n v="1"/>
    <n v="1"/>
    <m/>
    <m/>
    <m/>
    <m/>
    <m/>
    <m/>
    <m/>
    <m/>
    <m/>
    <m/>
    <n v="6.7528109143524445E-2"/>
    <n v="6.7631034648244742E-2"/>
    <n v="1.190451284427091E-3"/>
    <n v="1.1933174224343676E-3"/>
    <s v="NA"/>
    <n v="839"/>
    <s v="NA"/>
  </r>
  <r>
    <x v="0"/>
    <n v="11"/>
    <n v="1027"/>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84799999999999998"/>
    <s v="increase"/>
    <s v="NA"/>
    <n v="0.05"/>
    <n v="2"/>
    <n v="1.962795497038498"/>
    <n v="1.3349722343978727"/>
    <n v="0.70014742860953705"/>
    <s v="NA"/>
    <s v="NA"/>
    <s v="NA"/>
    <s v="NA"/>
    <n v="40"/>
    <s v="NA"/>
    <n v="841"/>
    <n v="841"/>
    <s v="NA"/>
    <s v="NA"/>
    <n v="0"/>
    <n v="0"/>
    <s v="NA"/>
    <s v="NA"/>
    <s v="NA"/>
    <s v="NA"/>
    <s v="NA"/>
    <s v="NA"/>
    <n v="1"/>
    <n v="1"/>
    <n v="1"/>
    <m/>
    <m/>
    <m/>
    <m/>
    <m/>
    <m/>
    <m/>
    <m/>
    <m/>
    <m/>
    <n v="6.7528109143524445E-2"/>
    <n v="6.7631034648244742E-2"/>
    <n v="1.190451284427091E-3"/>
    <n v="1.1933174224343676E-3"/>
    <s v="NA"/>
    <n v="839"/>
    <s v="NA"/>
  </r>
  <r>
    <x v="0"/>
    <n v="11"/>
    <n v="103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28"/>
    <s v="increase"/>
    <s v="NA"/>
    <n v="0.01"/>
    <n v="1"/>
    <n v="2.5817018839793482"/>
    <n v="1.7954693014284624"/>
    <n v="0.73652797043473905"/>
    <s v="NA"/>
    <s v="NA"/>
    <s v="NA"/>
    <s v="NA"/>
    <n v="66"/>
    <s v="NA"/>
    <n v="841"/>
    <n v="841"/>
    <s v="NA"/>
    <s v="NA"/>
    <n v="470.59"/>
    <s v="from 0,04 to 0,07 "/>
    <s v="NA"/>
    <s v="NA"/>
    <s v="NA"/>
    <s v="NA"/>
    <s v="NA"/>
    <s v="NA"/>
    <n v="1"/>
    <n v="1"/>
    <n v="1"/>
    <m/>
    <m/>
    <m/>
    <m/>
    <m/>
    <m/>
    <m/>
    <m/>
    <m/>
    <m/>
    <n v="8.8673513868765694E-2"/>
    <n v="8.890702958732373E-2"/>
    <n v="1.1904018089446793E-3"/>
    <n v="1.1933174224343676E-3"/>
    <s v="NA"/>
    <n v="839"/>
    <s v="NA"/>
  </r>
  <r>
    <x v="0"/>
    <n v="11"/>
    <n v="103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34"/>
    <s v="increase"/>
    <s v="NA"/>
    <n v="0.01"/>
    <n v="1"/>
    <n v="2.5817018839793482"/>
    <n v="1.8122925364724907"/>
    <n v="0.73769064403297369"/>
    <s v="NA"/>
    <s v="NA"/>
    <s v="NA"/>
    <s v="NA"/>
    <n v="60"/>
    <s v="NA"/>
    <n v="841"/>
    <n v="841"/>
    <s v="NA"/>
    <s v="NA"/>
    <n v="470.59"/>
    <s v="from 0,04 to 0,07 "/>
    <s v="NA"/>
    <s v="NA"/>
    <s v="NA"/>
    <s v="NA"/>
    <s v="NA"/>
    <s v="NA"/>
    <n v="1"/>
    <n v="1"/>
    <n v="1"/>
    <m/>
    <m/>
    <m/>
    <m/>
    <m/>
    <m/>
    <m/>
    <m/>
    <m/>
    <m/>
    <n v="8.8673513868765694E-2"/>
    <n v="8.890702958732373E-2"/>
    <n v="1.1904018089446793E-3"/>
    <n v="1.1933174224343676E-3"/>
    <s v="NA"/>
    <n v="839"/>
    <s v="NA"/>
  </r>
  <r>
    <x v="0"/>
    <n v="11"/>
    <n v="1025"/>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39999999999999"/>
    <s v="increase"/>
    <s v="NA"/>
    <n v="0.01"/>
    <n v="1"/>
    <n v="2.5817018839793482"/>
    <n v="4.3870611767441066"/>
    <n v="0.84343347083615006"/>
    <s v="NA"/>
    <s v="NA"/>
    <s v="NA"/>
    <s v="NA"/>
    <n v="48"/>
    <s v="NA"/>
    <n v="841"/>
    <n v="841"/>
    <s v="NA"/>
    <s v="NA"/>
    <n v="470.59"/>
    <s v="from 0,04 to 0,07 "/>
    <s v="NA"/>
    <s v="NA"/>
    <s v="NA"/>
    <s v="NA"/>
    <s v="NA"/>
    <s v="NA"/>
    <n v="1"/>
    <n v="1"/>
    <n v="1"/>
    <m/>
    <m/>
    <m/>
    <m/>
    <m/>
    <m/>
    <m/>
    <m/>
    <m/>
    <m/>
    <n v="8.8673513868765694E-2"/>
    <n v="8.890702958732373E-2"/>
    <n v="1.1904018089446793E-3"/>
    <n v="1.1933174224343676E-3"/>
    <s v="NA"/>
    <n v="839"/>
    <s v="NA"/>
  </r>
  <r>
    <x v="0"/>
    <n v="11"/>
    <n v="102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79999999999999"/>
    <s v="increase"/>
    <s v="NA"/>
    <n v="0.01"/>
    <n v="1"/>
    <n v="2.5817018839793482"/>
    <n v="4.4086525754599908"/>
    <n v="0.84396095930848247"/>
    <s v="NA"/>
    <s v="NA"/>
    <s v="NA"/>
    <s v="NA"/>
    <n v="54"/>
    <s v="NA"/>
    <n v="841"/>
    <n v="841"/>
    <s v="NA"/>
    <s v="NA"/>
    <n v="470.59"/>
    <s v="from 0,04 to 0,07 "/>
    <s v="NA"/>
    <s v="NA"/>
    <s v="NA"/>
    <s v="NA"/>
    <s v="NA"/>
    <s v="NA"/>
    <n v="1"/>
    <n v="1"/>
    <n v="1"/>
    <m/>
    <m/>
    <m/>
    <m/>
    <m/>
    <m/>
    <m/>
    <m/>
    <m/>
    <m/>
    <n v="8.8673513868765694E-2"/>
    <n v="8.890702958732373E-2"/>
    <n v="1.1904018089446793E-3"/>
    <n v="1.1933174224343676E-3"/>
    <s v="NA"/>
    <n v="839"/>
    <s v="NA"/>
  </r>
  <r>
    <x v="0"/>
    <n v="11"/>
    <n v="1028"/>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8759999999999999"/>
    <s v="increase"/>
    <s v="NA"/>
    <n v="0.01"/>
    <n v="1"/>
    <n v="2.5817018839793482"/>
    <n v="5.5273432009470769"/>
    <n v="0.86715100224549591"/>
    <s v="NA"/>
    <s v="NA"/>
    <s v="NA"/>
    <s v="NA"/>
    <n v="40"/>
    <s v="NA"/>
    <n v="841"/>
    <n v="841"/>
    <s v="NA"/>
    <s v="NA"/>
    <n v="470.59"/>
    <s v="from 0,04 to 0,07 "/>
    <s v="NA"/>
    <s v="NA"/>
    <s v="NA"/>
    <s v="NA"/>
    <s v="NA"/>
    <s v="NA"/>
    <n v="1"/>
    <n v="1"/>
    <n v="1"/>
    <m/>
    <m/>
    <m/>
    <m/>
    <m/>
    <m/>
    <m/>
    <m/>
    <m/>
    <m/>
    <n v="8.8673513868765694E-2"/>
    <n v="8.890702958732373E-2"/>
    <n v="1.1904018089446793E-3"/>
    <n v="1.1933174224343676E-3"/>
    <s v="NA"/>
    <n v="839"/>
    <s v="NA"/>
  </r>
  <r>
    <x v="0"/>
    <n v="12"/>
    <n v="1149"/>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environment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1.33"/>
    <s v="increase"/>
    <s v="NA"/>
    <n v="0.01"/>
    <n v="2"/>
    <n v="2.5840895721013624"/>
    <s v="NA"/>
    <m/>
    <s v="NA"/>
    <s v="NA"/>
    <s v="NA"/>
    <s v="NA"/>
    <s v="NA"/>
    <s v="NA"/>
    <n v="599"/>
    <n v="599"/>
    <s v="NA"/>
    <s v="NA"/>
    <s v="NA"/>
    <s v="NA"/>
    <s v="NA"/>
    <s v="NA"/>
    <s v="NA"/>
    <s v="NA"/>
    <s v="NA"/>
    <s v="NA"/>
    <n v="0"/>
    <n v="0"/>
    <n v="1"/>
    <m/>
    <m/>
    <m/>
    <m/>
    <m/>
    <m/>
    <m/>
    <m/>
    <m/>
    <m/>
    <n v="0.10499940460515129"/>
    <n v="0.10538784580628262"/>
    <n v="1.6720345208693912E-3"/>
    <n v="1.6778523489932886E-3"/>
    <s v="NA"/>
    <n v="597"/>
    <s v="NA"/>
  </r>
  <r>
    <x v="0"/>
    <n v="12"/>
    <n v="1150"/>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financi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2.82"/>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1"/>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environment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09"/>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2"/>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financi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63"/>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2"/>
    <m/>
    <n v="1261"/>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1"/>
    <n v="0"/>
    <n v="0"/>
    <n v="0"/>
    <n v="0"/>
    <n v="0"/>
    <n v="0"/>
    <n v="0"/>
    <n v="0"/>
    <s v="WTP"/>
    <x v="2"/>
    <s v="WTP"/>
    <s v="NA"/>
    <n v="0.66400000000000003"/>
    <s v="decrease"/>
    <s v="NA"/>
    <n v="0.1"/>
    <n v="2"/>
    <s v="NA"/>
    <s v="NA"/>
    <m/>
    <s v="NA"/>
    <s v="NA"/>
    <s v="NA"/>
    <s v="NA"/>
    <s v="NA"/>
    <s v="NA"/>
    <n v="605"/>
    <n v="605"/>
    <s v="NA"/>
    <s v="NA"/>
    <s v="NA"/>
    <s v="NA"/>
    <s v="NA"/>
    <s v="NA"/>
    <s v="NA"/>
    <s v="NA"/>
    <s v="NA"/>
    <s v="NA"/>
    <n v="0"/>
    <n v="1"/>
    <n v="0"/>
    <m/>
    <m/>
    <m/>
    <m/>
    <m/>
    <m/>
    <m/>
    <m/>
    <m/>
    <m/>
    <e v="#VALUE!"/>
    <e v="#VALUE!"/>
    <e v="#VALUE!"/>
    <n v="1.6611295681063123E-3"/>
    <m/>
    <m/>
    <m/>
  </r>
  <r>
    <x v="2"/>
    <m/>
    <n v="1262"/>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1"/>
    <n v="0"/>
    <s v="WTP"/>
    <x v="2"/>
    <s v="WTP"/>
    <s v="NA"/>
    <n v="6.96"/>
    <s v="increase"/>
    <s v="NA"/>
    <n v="0.05"/>
    <n v="1"/>
    <s v="NA"/>
    <s v="NA"/>
    <m/>
    <s v="NA"/>
    <s v="NA"/>
    <s v="NA"/>
    <s v="NA"/>
    <s v="NA"/>
    <s v="NA"/>
    <n v="605"/>
    <n v="605"/>
    <s v="NA"/>
    <s v="NA"/>
    <s v="NA"/>
    <s v="NA"/>
    <s v="NA"/>
    <s v="NA"/>
    <s v="NA"/>
    <s v="NA"/>
    <s v="NA"/>
    <s v="NA"/>
    <n v="0"/>
    <n v="1"/>
    <n v="0"/>
    <m/>
    <m/>
    <m/>
    <m/>
    <m/>
    <m/>
    <m/>
    <m/>
    <m/>
    <m/>
    <e v="#VALUE!"/>
    <e v="#VALUE!"/>
    <e v="#VALUE!"/>
    <n v="1.6611295681063123E-3"/>
    <m/>
    <m/>
    <m/>
  </r>
  <r>
    <x v="2"/>
    <m/>
    <n v="1263"/>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0"/>
    <n v="1"/>
    <s v="WTP"/>
    <x v="2"/>
    <s v="WTP"/>
    <s v="NA"/>
    <n v="1.591"/>
    <s v="increase"/>
    <s v="NA"/>
    <n v="0.1"/>
    <n v="2"/>
    <s v="NA"/>
    <s v="NA"/>
    <m/>
    <s v="NA"/>
    <s v="NA"/>
    <s v="NA"/>
    <s v="NA"/>
    <s v="NA"/>
    <s v="NA"/>
    <n v="605"/>
    <n v="605"/>
    <s v="NA"/>
    <s v="NA"/>
    <s v="NA"/>
    <s v="NA"/>
    <s v="NA"/>
    <s v="NA"/>
    <s v="NA"/>
    <s v="NA"/>
    <s v="NA"/>
    <s v="NA"/>
    <n v="0"/>
    <n v="1"/>
    <n v="0"/>
    <m/>
    <m/>
    <m/>
    <m/>
    <m/>
    <m/>
    <m/>
    <m/>
    <m/>
    <m/>
    <e v="#VALUE!"/>
    <e v="#VALUE!"/>
    <e v="#VALUE!"/>
    <n v="1.6611295681063123E-3"/>
    <m/>
    <m/>
    <m/>
  </r>
  <r>
    <x v="2"/>
    <m/>
    <n v="1264"/>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1"/>
    <n v="0"/>
    <n v="0"/>
    <n v="0"/>
    <s v="WTP"/>
    <x v="2"/>
    <s v="WTP"/>
    <s v="NA"/>
    <n v="1.585"/>
    <s v="increase"/>
    <s v="NA"/>
    <n v="0.01"/>
    <n v="1"/>
    <s v="NA"/>
    <s v="NA"/>
    <m/>
    <s v="NA"/>
    <s v="NA"/>
    <s v="NA"/>
    <s v="NA"/>
    <s v="NA"/>
    <s v="NA"/>
    <n v="605"/>
    <n v="605"/>
    <s v="NA"/>
    <s v="NA"/>
    <s v="NA"/>
    <s v="NA"/>
    <s v="NA"/>
    <s v="NA"/>
    <s v="NA"/>
    <s v="NA"/>
    <s v="NA"/>
    <s v="NA"/>
    <n v="0"/>
    <n v="1"/>
    <n v="0"/>
    <m/>
    <m/>
    <m/>
    <m/>
    <m/>
    <m/>
    <m/>
    <m/>
    <m/>
    <m/>
    <e v="#VALUE!"/>
    <e v="#VALUE!"/>
    <e v="#VALUE!"/>
    <n v="1.6611295681063123E-3"/>
    <m/>
    <m/>
    <m/>
  </r>
  <r>
    <x v="2"/>
    <m/>
    <n v="1265"/>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1"/>
    <n v="0"/>
    <n v="0"/>
    <n v="0"/>
    <n v="0"/>
    <n v="0"/>
    <s v="WTP"/>
    <x v="2"/>
    <s v="WTP"/>
    <s v="NA"/>
    <n v="1.7"/>
    <s v="decrease"/>
    <s v="NA"/>
    <n v="0.1"/>
    <n v="2"/>
    <s v="NA"/>
    <s v="NA"/>
    <m/>
    <s v="NA"/>
    <s v="NA"/>
    <s v="NA"/>
    <s v="NA"/>
    <s v="NA"/>
    <s v="NA"/>
    <n v="605"/>
    <n v="605"/>
    <s v="NA"/>
    <s v="NA"/>
    <s v="NA"/>
    <s v="NA"/>
    <s v="NA"/>
    <s v="NA"/>
    <s v="NA"/>
    <s v="NA"/>
    <s v="NA"/>
    <s v="NA"/>
    <n v="0"/>
    <n v="1"/>
    <n v="0"/>
    <m/>
    <m/>
    <m/>
    <m/>
    <m/>
    <m/>
    <m/>
    <m/>
    <m/>
    <m/>
    <e v="#VALUE!"/>
    <e v="#VALUE!"/>
    <e v="#VALUE!"/>
    <n v="1.6611295681063123E-3"/>
    <m/>
    <m/>
    <m/>
  </r>
  <r>
    <x v="0"/>
    <m/>
    <s v="NA"/>
    <s v="NA"/>
    <s v="Harrington"/>
    <n v="2017"/>
    <s v="Quantifying energy savings from replacement of old refrigerators"/>
    <s v="energy consumption of refrigerating appliances in the field, the data is very complex and difficult to interpret. Field data _x000a_measured in houses has constantly fluctuating room temperatures and is subject to somewhat random interactions with _x000a_householders through door openings and the placement of food and drinks to be cooled. Another problem with field data is that _x000a_household indoor temperatures are quite seasonal and significant periods of data are required to quantify these effects. _x000a_This paper analyses the results of 21 refrigerator replacements that have occurred in Melbourne, Gippsland (Victoria) and"/>
    <n v="1"/>
    <m/>
    <x v="8"/>
    <s v="check maybe they have aggregate results in supplementary materials?"/>
    <x v="6"/>
    <x v="4"/>
    <x v="5"/>
    <m/>
    <m/>
    <m/>
    <m/>
    <m/>
    <m/>
    <m/>
    <m/>
    <s v="small sample size, no statistical analysis of the results, only descriptive statistics for each household"/>
    <m/>
    <m/>
    <m/>
    <m/>
    <m/>
    <m/>
    <m/>
    <m/>
    <m/>
    <m/>
    <m/>
    <m/>
    <m/>
    <m/>
    <m/>
    <m/>
    <m/>
    <m/>
    <m/>
    <x v="3"/>
    <m/>
    <m/>
    <m/>
    <m/>
    <m/>
    <m/>
    <m/>
    <m/>
    <m/>
    <m/>
    <m/>
    <m/>
    <m/>
    <m/>
    <m/>
    <m/>
    <m/>
    <m/>
    <m/>
    <m/>
    <m/>
    <m/>
    <m/>
    <m/>
    <m/>
    <m/>
    <m/>
    <m/>
    <m/>
    <m/>
    <m/>
    <m/>
    <m/>
    <m/>
    <m/>
    <m/>
    <m/>
    <m/>
    <m/>
    <m/>
    <m/>
    <m/>
    <m/>
    <m/>
    <m/>
    <m/>
    <m/>
    <m/>
  </r>
  <r>
    <x v="0"/>
    <n v="13"/>
    <n v="1121"/>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2.17"/>
    <s v="increase"/>
    <n v="0.11"/>
    <n v="0.01"/>
    <n v="1"/>
    <n v="19.727272727272727"/>
    <n v="7.7582840407408344"/>
    <n v="0.89752296655590269"/>
    <s v="NA"/>
    <s v="NA"/>
    <s v="NA"/>
    <s v="NA"/>
    <s v="NA"/>
    <s v="NA"/>
    <n v="97"/>
    <n v="1164"/>
    <s v="NA"/>
    <s v="NA"/>
    <s v="NA"/>
    <s v="NA"/>
    <s v="NA"/>
    <n v="0"/>
    <s v="NA"/>
    <n v="0"/>
    <s v="NA"/>
    <s v="alphabetical with +"/>
    <n v="0"/>
    <n v="0"/>
    <n v="1"/>
    <m/>
    <m/>
    <m/>
    <m/>
    <m/>
    <m/>
    <m/>
    <m/>
    <m/>
    <m/>
    <n v="0.89469513235852893"/>
    <n v="1.4449767900329058"/>
    <n v="-3.4995503034195442E-2"/>
    <n v="1.0638297872340425E-2"/>
    <s v="NA"/>
    <n v="96"/>
    <s v="NA"/>
  </r>
  <r>
    <x v="0"/>
    <n v="13"/>
    <n v="1120"/>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3.18"/>
    <s v="increase"/>
    <n v="0.13"/>
    <n v="0.01"/>
    <n v="1"/>
    <n v="24.461538461538463"/>
    <n v="23.046753552064498"/>
    <n v="0.96007466604718616"/>
    <s v="NA"/>
    <s v="NA"/>
    <s v="NA"/>
    <s v="NA"/>
    <s v="NA"/>
    <s v="NA"/>
    <n v="90"/>
    <n v="1080"/>
    <s v="NA"/>
    <s v="NA"/>
    <s v="NA"/>
    <s v="NA"/>
    <s v="NA"/>
    <n v="0"/>
    <s v="NA"/>
    <n v="0"/>
    <s v="NA"/>
    <s v="alphabetical"/>
    <n v="0"/>
    <n v="0"/>
    <n v="1"/>
    <m/>
    <m/>
    <m/>
    <m/>
    <m/>
    <m/>
    <m/>
    <m/>
    <m/>
    <m/>
    <n v="0.93233886735311322"/>
    <n v="1.6759872465436003"/>
    <n v="-7.7416921417931925E-2"/>
    <n v="1.1494252873563218E-2"/>
    <s v="NA"/>
    <n v="89"/>
    <s v="NA"/>
  </r>
  <r>
    <x v="0"/>
    <n v="13"/>
    <n v="1134"/>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
    <s v="NA"/>
    <s v="NA"/>
    <e v="#VALUE!"/>
    <n v="0.33700000000000002"/>
    <e v="#NUM!"/>
    <s v="NA"/>
    <s v="NA"/>
    <s v="NA"/>
    <s v="NA"/>
    <s v="NA"/>
    <s v="NA"/>
    <n v="90"/>
    <n v="1080"/>
    <s v="NA"/>
    <s v="NA"/>
    <s v="NA"/>
    <s v="NA"/>
    <s v="NA"/>
    <n v="0"/>
    <s v="NA"/>
    <n v="0"/>
    <s v="NA"/>
    <s v="alphabetical"/>
    <n v="0"/>
    <n v="0"/>
    <n v="0"/>
    <m/>
    <m/>
    <m/>
    <m/>
    <m/>
    <m/>
    <m/>
    <m/>
    <m/>
    <m/>
    <n v="4.2087673934074338E-2"/>
    <n v="4.2112551359627833E-2"/>
    <n v="1.123591971702094E-2"/>
    <n v="1.1494252873563218E-2"/>
    <n v="8.4250000000000005E-2"/>
    <n v="89"/>
    <s v="NA"/>
  </r>
  <r>
    <x v="0"/>
    <n v="13"/>
    <n v="1135"/>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1"/>
    <s v="NA"/>
    <s v="NA"/>
    <e v="#VALUE!"/>
    <n v="7.4999999999999997E-2"/>
    <e v="#NUM!"/>
    <s v="NA"/>
    <s v="NA"/>
    <s v="NA"/>
    <s v="NA"/>
    <s v="NA"/>
    <s v="NA"/>
    <n v="97"/>
    <n v="1164"/>
    <s v="NA"/>
    <s v="NA"/>
    <s v="NA"/>
    <s v="NA"/>
    <s v="NA"/>
    <n v="0"/>
    <s v="NA"/>
    <n v="0"/>
    <s v="NA"/>
    <s v="alphabetical with +"/>
    <n v="0"/>
    <n v="0"/>
    <n v="0"/>
    <m/>
    <m/>
    <m/>
    <m/>
    <m/>
    <m/>
    <m/>
    <m/>
    <m/>
    <m/>
    <n v="1.785429641688294E-2"/>
    <n v="1.7856193952969043E-2"/>
    <n v="1.0416665607694988E-2"/>
    <n v="1.0638297872340425E-2"/>
    <n v="3.5714285714285712E-2"/>
    <n v="96"/>
    <s v="NA"/>
  </r>
  <r>
    <x v="0"/>
    <n v="13"/>
    <n v="1136"/>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6"/>
    <s v="NA"/>
    <s v="NA"/>
    <e v="#VALUE!"/>
    <n v="0.191"/>
    <e v="#NUM!"/>
    <s v="NA"/>
    <s v="NA"/>
    <s v="NA"/>
    <s v="NA"/>
    <s v="NA"/>
    <s v="NA"/>
    <n v="90"/>
    <n v="1080"/>
    <s v="NA"/>
    <s v="NA"/>
    <s v="NA"/>
    <s v="NA"/>
    <s v="NA"/>
    <n v="0"/>
    <s v="NA"/>
    <n v="0"/>
    <s v="NA"/>
    <s v="alphabetical"/>
    <n v="0"/>
    <n v="0"/>
    <n v="0"/>
    <m/>
    <m/>
    <m/>
    <m/>
    <m/>
    <m/>
    <m/>
    <m/>
    <m/>
    <m/>
    <n v="3.6706016626389615E-2"/>
    <n v="3.6722515025129569E-2"/>
    <n v="1.1235934622825631E-2"/>
    <n v="1.1494252873563218E-2"/>
    <n v="7.3461538461538467E-2"/>
    <n v="89"/>
    <s v="NA"/>
  </r>
  <r>
    <x v="0"/>
    <n v="13"/>
    <n v="1137"/>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1"/>
    <s v="NA"/>
    <s v="NA"/>
    <e v="#VALUE!"/>
    <n v="0.214"/>
    <e v="#NUM!"/>
    <s v="NA"/>
    <s v="NA"/>
    <s v="NA"/>
    <s v="NA"/>
    <s v="NA"/>
    <s v="NA"/>
    <n v="97"/>
    <n v="1164"/>
    <s v="NA"/>
    <s v="NA"/>
    <s v="NA"/>
    <s v="NA"/>
    <s v="NA"/>
    <n v="0"/>
    <s v="NA"/>
    <n v="0"/>
    <s v="NA"/>
    <s v="alphabetical with +"/>
    <n v="0"/>
    <n v="0"/>
    <n v="0"/>
    <m/>
    <m/>
    <m/>
    <m/>
    <m/>
    <m/>
    <m/>
    <m/>
    <m/>
    <m/>
    <n v="3.4495586763078345E-2"/>
    <n v="3.4509279163151156E-2"/>
    <n v="1.0416651893543523E-2"/>
    <n v="1.0638297872340425E-2"/>
    <n v="6.9032258064516128E-2"/>
    <n v="96"/>
    <s v="NA"/>
  </r>
  <r>
    <x v="0"/>
    <n v="13"/>
    <n v="1138"/>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8"/>
    <s v="NA"/>
    <s v="NA"/>
    <e v="#VALUE!"/>
    <n v="0.16500000000000001"/>
    <e v="#NUM!"/>
    <s v="NA"/>
    <s v="NA"/>
    <s v="NA"/>
    <s v="NA"/>
    <s v="NA"/>
    <s v="NA"/>
    <n v="90"/>
    <n v="1080"/>
    <s v="NA"/>
    <s v="NA"/>
    <s v="NA"/>
    <s v="NA"/>
    <s v="NA"/>
    <n v="0"/>
    <s v="NA"/>
    <n v="0"/>
    <s v="NA"/>
    <s v="alphabetical"/>
    <n v="0"/>
    <n v="0"/>
    <n v="0"/>
    <m/>
    <m/>
    <m/>
    <m/>
    <m/>
    <m/>
    <m/>
    <m/>
    <m/>
    <m/>
    <n v="2.9451504412310325E-2"/>
    <n v="2.946002417111681E-2"/>
    <n v="1.1235946592828075E-2"/>
    <n v="1.1494252873563218E-2"/>
    <n v="5.8928571428571434E-2"/>
    <n v="89"/>
    <s v="NA"/>
  </r>
  <r>
    <x v="0"/>
    <n v="13"/>
    <n v="1139"/>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2"/>
    <s v="NA"/>
    <s v="NA"/>
    <e v="#VALUE!"/>
    <n v="0.254"/>
    <e v="#NUM!"/>
    <s v="NA"/>
    <s v="NA"/>
    <s v="NA"/>
    <s v="NA"/>
    <s v="NA"/>
    <s v="NA"/>
    <n v="97"/>
    <n v="1164"/>
    <s v="NA"/>
    <s v="NA"/>
    <s v="NA"/>
    <s v="NA"/>
    <s v="NA"/>
    <n v="0"/>
    <s v="NA"/>
    <n v="0"/>
    <s v="NA"/>
    <s v="alphabetical with +"/>
    <n v="0"/>
    <n v="0"/>
    <n v="0"/>
    <m/>
    <m/>
    <m/>
    <m/>
    <m/>
    <m/>
    <m/>
    <m/>
    <m/>
    <m/>
    <n v="3.9656281030740814E-2"/>
    <n v="3.9677088763029514E-2"/>
    <n v="1.0416640850725469E-2"/>
    <n v="1.0638297872340425E-2"/>
    <n v="7.9375000000000001E-2"/>
    <n v="96"/>
    <s v="NA"/>
  </r>
  <r>
    <x v="0"/>
    <n v="13"/>
    <n v="1140"/>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0999999999999996"/>
    <s v="NA"/>
    <s v="NA"/>
    <e v="#VALUE!"/>
    <n v="0.30880000000000002"/>
    <e v="#NUM!"/>
    <s v="NA"/>
    <s v="NA"/>
    <s v="NA"/>
    <s v="NA"/>
    <s v="NA"/>
    <s v="NA"/>
    <n v="90"/>
    <n v="1080"/>
    <s v="NA"/>
    <s v="NA"/>
    <s v="NA"/>
    <s v="NA"/>
    <s v="NA"/>
    <n v="0"/>
    <s v="NA"/>
    <n v="0"/>
    <s v="NA"/>
    <s v="alphabetical"/>
    <n v="0"/>
    <n v="0"/>
    <n v="0"/>
    <m/>
    <m/>
    <m/>
    <m/>
    <m/>
    <m/>
    <m/>
    <m/>
    <m/>
    <m/>
    <n v="3.7631861937430795E-2"/>
    <n v="3.7649641255509014E-2"/>
    <n v="1.1235932479848823E-2"/>
    <n v="1.1494252873563218E-2"/>
    <n v="7.5317073170731719E-2"/>
    <n v="89"/>
    <s v="NA"/>
  </r>
  <r>
    <x v="0"/>
    <n v="13"/>
    <n v="1141"/>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3"/>
    <s v="NA"/>
    <s v="NA"/>
    <e v="#VALUE!"/>
    <n v="0.45700000000000002"/>
    <e v="#NUM!"/>
    <s v="NA"/>
    <s v="NA"/>
    <s v="NA"/>
    <s v="NA"/>
    <s v="NA"/>
    <s v="NA"/>
    <n v="97"/>
    <n v="1164"/>
    <s v="NA"/>
    <s v="NA"/>
    <s v="NA"/>
    <s v="NA"/>
    <s v="NA"/>
    <n v="0"/>
    <s v="NA"/>
    <n v="0"/>
    <s v="NA"/>
    <s v="alphabetical with +"/>
    <n v="0"/>
    <n v="0"/>
    <n v="0"/>
    <m/>
    <m/>
    <m/>
    <m/>
    <m/>
    <m/>
    <m/>
    <m/>
    <m/>
    <m/>
    <n v="5.306466542985009E-2"/>
    <n v="5.3114557283637655E-2"/>
    <n v="1.0416583761226261E-2"/>
    <n v="1.0638297872340425E-2"/>
    <n v="0.10627906976744186"/>
    <n v="96"/>
    <s v="NA"/>
  </r>
  <r>
    <x v="0"/>
    <m/>
    <s v="NA"/>
    <s v="NA"/>
    <s v="Hirst, Carney, O'Neal"/>
    <n v="1979"/>
    <s v="Alternative technologies for US residential water heating. Energy savings and economic benefits"/>
    <m/>
    <m/>
    <m/>
    <x v="9"/>
    <m/>
    <x v="6"/>
    <x v="4"/>
    <x v="5"/>
    <m/>
    <m/>
    <m/>
    <m/>
    <m/>
    <m/>
    <m/>
    <m/>
    <m/>
    <m/>
    <m/>
    <m/>
    <m/>
    <m/>
    <m/>
    <m/>
    <m/>
    <m/>
    <m/>
    <m/>
    <m/>
    <m/>
    <m/>
    <m/>
    <m/>
    <m/>
    <m/>
    <m/>
    <x v="3"/>
    <m/>
    <m/>
    <m/>
    <m/>
    <m/>
    <m/>
    <m/>
    <m/>
    <m/>
    <m/>
    <m/>
    <m/>
    <m/>
    <m/>
    <m/>
    <m/>
    <m/>
    <m/>
    <m/>
    <m/>
    <m/>
    <m/>
    <m/>
    <m/>
    <m/>
    <m/>
    <m/>
    <m/>
    <m/>
    <m/>
    <m/>
    <m/>
    <m/>
    <m/>
    <m/>
    <m/>
    <m/>
    <m/>
    <m/>
    <m/>
    <m/>
    <m/>
    <m/>
    <m/>
    <m/>
    <m/>
    <m/>
    <m/>
  </r>
  <r>
    <x v="2"/>
    <m/>
    <n v="1254"/>
    <n v="402"/>
    <s v="Hlakotsa, Lencwe, Ngobeni, Chowdhury"/>
    <n v="2019"/>
    <s v="Energy Efficient Water Heating using Air Source Heat Pumps"/>
    <s v="The objective of the project is to save electricity on water heating by means of measuring, verifying the energy consumption, demand and energy cost savings, as well as emission impacts. Calculations for sizing the heat pumps to match the electricity boilers output were conducted. Measured data was captured in Microsoft excel toolkit to calculate the electricity energy savings. These were achieved through replacement of conventional water heating electrical boilers with heat pumps, which is an energy efficient water heating technology at Ben Eden Ben Avon residential complex. The complex consist of 153 apartments at Benmore Gardens, Parkmore. Therefore, the contribution of these paper is to determine the energy savings and achieve Demand Side Management for Eskom, thus, ensuring clients benefit financially through reduced monthly electricity consumption. Furthermore, strain will be reduced from the electricity utility network system. The project is classified as an Energy Efficiency and the targeted equipment is of a 140 kW and 180 kW element water boilers at the Ben Avon Ben Eden residential buildings basement."/>
    <n v="1"/>
    <s v="NA"/>
    <x v="8"/>
    <n v="6"/>
    <x v="17"/>
    <x v="0"/>
    <x v="18"/>
    <s v="revealed preference"/>
    <s v="household"/>
    <s v="residents"/>
    <n v="1"/>
    <s v="no such option"/>
    <n v="0"/>
    <s v="probably yes"/>
    <s v="probably no"/>
    <s v="conducted in an apartment complex, no random selection"/>
    <n v="0"/>
    <n v="0"/>
    <n v="0"/>
    <n v="0"/>
    <n v="0"/>
    <n v="0"/>
    <n v="0"/>
    <n v="0"/>
    <s v="Replacement of water heaters"/>
    <n v="0"/>
    <n v="0"/>
    <n v="0"/>
    <n v="0"/>
    <n v="0"/>
    <n v="0"/>
    <n v="1"/>
    <n v="0"/>
    <n v="0"/>
    <s v="average savings reported in conclusion"/>
    <x v="1"/>
    <s v="monthly energy savings in kW"/>
    <s v="NA"/>
    <n v="100"/>
    <s v="increase"/>
    <s v="NA"/>
    <s v="NA"/>
    <s v="NA"/>
    <s v="NA"/>
    <s v="NA"/>
    <m/>
    <s v="NA"/>
    <s v="NA"/>
    <s v="NA"/>
    <s v="NA"/>
    <n v="1"/>
    <n v="0"/>
    <n v="1"/>
    <n v="1"/>
    <s v="NA"/>
    <s v="NA"/>
    <s v="NA"/>
    <s v="NA"/>
    <s v="NA"/>
    <s v="NA"/>
    <s v="NA"/>
    <s v="NA"/>
    <s v="NA"/>
    <s v="NA"/>
    <n v="0"/>
    <n v="0"/>
    <n v="0"/>
    <m/>
    <m/>
    <m/>
    <m/>
    <m/>
    <m/>
    <m/>
    <m/>
    <m/>
    <m/>
    <m/>
    <m/>
    <m/>
    <m/>
    <m/>
    <m/>
    <m/>
  </r>
  <r>
    <x v="0"/>
    <m/>
    <n v="1090"/>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0.1"/>
    <s v="increase"/>
    <n v="2.1000000000000001E-2"/>
    <s v="NA"/>
    <n v="3"/>
    <n v="4.7619047619047619"/>
    <s v="NA"/>
    <m/>
    <s v="NA"/>
    <s v="NA"/>
    <s v="NA"/>
    <s v="NA"/>
    <s v="NA"/>
    <s v="NA"/>
    <n v="12450"/>
    <n v="12450"/>
    <s v="NA"/>
    <s v="NA"/>
    <n v="128"/>
    <n v="0.1"/>
    <s v="delayed"/>
    <s v="NA"/>
    <s v="NA"/>
    <s v="NA"/>
    <s v="NA"/>
    <s v="NA"/>
    <n v="0"/>
    <n v="1"/>
    <n v="0"/>
    <m/>
    <m/>
    <m/>
    <m/>
    <m/>
    <m/>
    <m/>
    <m/>
    <m/>
    <m/>
    <n v="4.2638399008658186E-2"/>
    <n v="4.2664266571193814E-2"/>
    <n v="8.0327471019973139E-5"/>
    <n v="8.0340644331967548E-5"/>
    <m/>
    <m/>
    <m/>
  </r>
  <r>
    <x v="0"/>
    <m/>
    <n v="1091"/>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1.2E-2"/>
    <s v="increase"/>
    <n v="6.0000000000000001E-3"/>
    <s v="NA"/>
    <n v="3"/>
    <n v="2"/>
    <s v="NA"/>
    <m/>
    <s v="NA"/>
    <s v="NA"/>
    <s v="NA"/>
    <s v="NA"/>
    <s v="NA"/>
    <s v="NA"/>
    <n v="12450"/>
    <n v="12450"/>
    <s v="NA"/>
    <s v="NA"/>
    <n v="128"/>
    <n v="0.1"/>
    <s v="delayed"/>
    <s v="NA"/>
    <s v="NA"/>
    <s v="NA"/>
    <s v="NA"/>
    <s v="NA"/>
    <n v="0"/>
    <n v="1"/>
    <n v="0"/>
    <m/>
    <m/>
    <m/>
    <m/>
    <m/>
    <m/>
    <m/>
    <m/>
    <m/>
    <m/>
    <n v="1.7921549865299986E-2"/>
    <n v="1.7923468927909639E-2"/>
    <n v="8.0327728877657888E-5"/>
    <n v="8.0340644331967548E-5"/>
    <m/>
    <m/>
    <m/>
  </r>
  <r>
    <x v="0"/>
    <m/>
    <n v="1092"/>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8.5000000000000006E-3"/>
    <s v="decrease"/>
    <n v="5.0000000000000001E-3"/>
    <s v="NA"/>
    <n v="3"/>
    <n v="1.7000000000000002"/>
    <s v="NA"/>
    <m/>
    <s v="NA"/>
    <s v="NA"/>
    <s v="NA"/>
    <s v="NA"/>
    <s v="NA"/>
    <s v="NA"/>
    <n v="12450"/>
    <n v="12450"/>
    <s v="NA"/>
    <s v="NA"/>
    <n v="128"/>
    <n v="0.1"/>
    <s v="delayed"/>
    <s v="NA"/>
    <s v="NA"/>
    <s v="NA"/>
    <s v="NA"/>
    <s v="NA"/>
    <n v="0"/>
    <n v="1"/>
    <n v="0"/>
    <m/>
    <m/>
    <m/>
    <m/>
    <m/>
    <m/>
    <m/>
    <m/>
    <m/>
    <m/>
    <n v="1.5233996288374733E-2"/>
    <n v="1.5235174927247961E-2"/>
    <n v="8.0327732839962263E-5"/>
    <n v="8.0340644331967548E-5"/>
    <m/>
    <m/>
    <m/>
  </r>
  <r>
    <x v="0"/>
    <m/>
    <n v="1093"/>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6.7000000000000004E-2"/>
    <s v="increase"/>
    <n v="1.6E-2"/>
    <s v="NA"/>
    <n v="3"/>
    <n v="0.53125"/>
    <s v="NA"/>
    <m/>
    <s v="NA"/>
    <s v="NA"/>
    <s v="NA"/>
    <s v="NA"/>
    <s v="NA"/>
    <s v="NA"/>
    <n v="12100"/>
    <n v="12100"/>
    <s v="NA"/>
    <s v="NA"/>
    <n v="128"/>
    <n v="0.1"/>
    <s v="delayed"/>
    <s v="NA"/>
    <s v="NA"/>
    <s v="NA"/>
    <s v="NA"/>
    <s v="NA"/>
    <n v="0"/>
    <n v="1"/>
    <n v="0"/>
    <m/>
    <m/>
    <m/>
    <m/>
    <m/>
    <m/>
    <m/>
    <m/>
    <m/>
    <m/>
    <n v="4.8294891321417933E-3"/>
    <n v="4.8295266802795347E-3"/>
    <n v="8.2651458753283386E-5"/>
    <n v="8.2665123584359755E-5"/>
    <m/>
    <m/>
    <m/>
  </r>
  <r>
    <x v="0"/>
    <m/>
    <n v="1094"/>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9.7000000000000003E-3"/>
    <s v="increase"/>
    <n v="3.0000000000000001E-3"/>
    <s v="NA"/>
    <n v="3"/>
    <n v="1.6666666666666667"/>
    <s v="NA"/>
    <m/>
    <s v="NA"/>
    <s v="NA"/>
    <s v="NA"/>
    <s v="NA"/>
    <s v="NA"/>
    <s v="NA"/>
    <n v="12100"/>
    <n v="12100"/>
    <s v="NA"/>
    <s v="NA"/>
    <n v="128"/>
    <n v="0.1"/>
    <s v="delayed"/>
    <s v="NA"/>
    <s v="NA"/>
    <s v="NA"/>
    <s v="NA"/>
    <s v="NA"/>
    <n v="0"/>
    <n v="1"/>
    <n v="0"/>
    <m/>
    <m/>
    <m/>
    <m/>
    <m/>
    <m/>
    <m/>
    <m/>
    <m/>
    <m/>
    <n v="1.5149776296267388E-2"/>
    <n v="1.5150935493184629E-2"/>
    <n v="8.2651454443045618E-5"/>
    <n v="8.2665123584359755E-5"/>
    <m/>
    <m/>
    <m/>
  </r>
  <r>
    <x v="0"/>
    <m/>
    <n v="1095"/>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7.0000000000000001E-3"/>
    <s v="decrease"/>
    <n v="4.0000000000000001E-3"/>
    <s v="NA"/>
    <n v="3"/>
    <n v="1.75"/>
    <s v="NA"/>
    <m/>
    <s v="NA"/>
    <s v="NA"/>
    <s v="NA"/>
    <s v="NA"/>
    <s v="NA"/>
    <s v="NA"/>
    <n v="12100"/>
    <n v="12100"/>
    <s v="NA"/>
    <s v="NA"/>
    <n v="128"/>
    <n v="0.1"/>
    <s v="delayed"/>
    <s v="NA"/>
    <s v="NA"/>
    <s v="NA"/>
    <s v="NA"/>
    <s v="NA"/>
    <n v="0"/>
    <n v="1"/>
    <n v="0"/>
    <m/>
    <m/>
    <m/>
    <m/>
    <m/>
    <m/>
    <m/>
    <m/>
    <m/>
    <m/>
    <n v="1.5907078002301091E-2"/>
    <n v="1.5908419889220204E-2"/>
    <n v="8.2651453504555366E-5"/>
    <n v="8.2665123584359755E-5"/>
    <m/>
    <m/>
    <m/>
  </r>
  <r>
    <x v="0"/>
    <m/>
    <n v="1096"/>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9.6000000000000002E-2"/>
    <s v="increase"/>
    <n v="1.7999999999999999E-2"/>
    <s v="NA"/>
    <n v="3"/>
    <n v="5.3333333333333339"/>
    <s v="NA"/>
    <m/>
    <s v="NA"/>
    <s v="NA"/>
    <s v="NA"/>
    <s v="NA"/>
    <s v="NA"/>
    <s v="NA"/>
    <n v="12600"/>
    <n v="12600"/>
    <s v="NA"/>
    <s v="NA"/>
    <n v="128"/>
    <n v="0.1"/>
    <s v="delayed"/>
    <s v="NA"/>
    <s v="NA"/>
    <s v="NA"/>
    <s v="NA"/>
    <s v="NA"/>
    <n v="0"/>
    <n v="1"/>
    <n v="0"/>
    <m/>
    <m/>
    <m/>
    <m/>
    <m/>
    <m/>
    <m/>
    <m/>
    <m/>
    <m/>
    <n v="4.7459569987691901E-2"/>
    <n v="4.7495251036885983E-2"/>
    <n v="7.9370974789384351E-5"/>
    <n v="7.9383980312772889E-5"/>
    <m/>
    <m/>
    <m/>
  </r>
  <r>
    <x v="0"/>
    <m/>
    <n v="1097"/>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1000000000000001E-2"/>
    <s v="decrease"/>
    <n v="7.0000000000000001E-3"/>
    <s v="NA"/>
    <n v="3"/>
    <n v="3"/>
    <s v="NA"/>
    <m/>
    <s v="NA"/>
    <s v="NA"/>
    <s v="NA"/>
    <s v="NA"/>
    <s v="NA"/>
    <s v="NA"/>
    <n v="12600"/>
    <n v="12600"/>
    <s v="NA"/>
    <s v="NA"/>
    <n v="128"/>
    <n v="0.1"/>
    <s v="delayed"/>
    <s v="NA"/>
    <s v="NA"/>
    <s v="NA"/>
    <s v="NA"/>
    <s v="NA"/>
    <n v="0"/>
    <n v="1"/>
    <n v="0"/>
    <m/>
    <m/>
    <m/>
    <m/>
    <m/>
    <m/>
    <m/>
    <m/>
    <m/>
    <m/>
    <n v="2.6716584257263244E-2"/>
    <n v="2.672294353203979E-2"/>
    <n v="7.9371338204520307E-5"/>
    <n v="7.9383980312772889E-5"/>
    <m/>
    <m/>
    <m/>
  </r>
  <r>
    <x v="0"/>
    <m/>
    <n v="1098"/>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3999999999999998E-3"/>
    <s v="decrease"/>
    <n v="5.0000000000000001E-3"/>
    <s v="NA"/>
    <n v="3"/>
    <n v="0.47999999999999993"/>
    <s v="NA"/>
    <m/>
    <s v="NA"/>
    <s v="NA"/>
    <s v="NA"/>
    <s v="NA"/>
    <s v="NA"/>
    <s v="NA"/>
    <n v="12600"/>
    <n v="12600"/>
    <s v="NA"/>
    <s v="NA"/>
    <n v="128"/>
    <n v="0.1"/>
    <s v="delayed"/>
    <s v="NA"/>
    <s v="NA"/>
    <s v="NA"/>
    <s v="NA"/>
    <s v="NA"/>
    <n v="0"/>
    <n v="1"/>
    <n v="0"/>
    <m/>
    <m/>
    <m/>
    <m/>
    <m/>
    <m/>
    <m/>
    <m/>
    <m/>
    <m/>
    <n v="4.2761407746332884E-3"/>
    <n v="4.2761668385387485E-3"/>
    <n v="7.9371378654308805E-5"/>
    <n v="7.9383980312772889E-5"/>
    <m/>
    <m/>
    <m/>
  </r>
  <r>
    <x v="0"/>
    <m/>
    <n v="1281"/>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Behavior intention to change to Energy efficient household appliance"/>
    <s v="log scale"/>
    <n v="2.1000000000000001E-2"/>
    <s v="increase"/>
    <n v="5.0000000000000001E-3"/>
    <s v="NA"/>
    <n v="3"/>
    <n v="4.2"/>
    <n v="2.1000000000000001E-2"/>
    <m/>
    <s v="NA"/>
    <s v="NA"/>
    <s v="NA"/>
    <s v="NA"/>
    <s v="NA"/>
    <s v="NA"/>
    <n v="12450"/>
    <n v="12450"/>
    <s v="NA"/>
    <s v="NA"/>
    <n v="100"/>
    <s v="NA"/>
    <s v="delayed"/>
    <s v="NA"/>
    <s v="NA"/>
    <s v="NA"/>
    <s v="NA"/>
    <s v="NA"/>
    <n v="0"/>
    <n v="1"/>
    <n v="0"/>
    <m/>
    <m/>
    <m/>
    <m/>
    <m/>
    <m/>
    <m/>
    <m/>
    <m/>
    <m/>
    <n v="3.7614661992478114E-2"/>
    <n v="3.7632416929352756E-2"/>
    <n v="8.0327576060803895E-5"/>
    <n v="8.0340644331967548E-5"/>
    <m/>
    <m/>
    <m/>
  </r>
  <r>
    <x v="0"/>
    <m/>
    <n v="1282"/>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2.3999999999999998E-3"/>
    <s v="increase"/>
    <n v="2E-3"/>
    <s v="NA"/>
    <n v="3"/>
    <n v="1.2"/>
    <n v="2.3999999999999998E-3"/>
    <m/>
    <s v="NA"/>
    <s v="NA"/>
    <s v="NA"/>
    <s v="NA"/>
    <s v="NA"/>
    <s v="NA"/>
    <n v="12450"/>
    <n v="12450"/>
    <s v="NA"/>
    <s v="NA"/>
    <n v="100"/>
    <s v="NA"/>
    <s v="delayed"/>
    <s v="NA"/>
    <s v="NA"/>
    <s v="NA"/>
    <s v="NA"/>
    <s v="NA"/>
    <n v="0"/>
    <n v="1"/>
    <n v="0"/>
    <m/>
    <m/>
    <m/>
    <m/>
    <m/>
    <m/>
    <m/>
    <m/>
    <m/>
    <m/>
    <n v="1.0754035256628266E-2"/>
    <n v="1.0754449850854842E-2"/>
    <n v="8.0327736093114527E-5"/>
    <n v="8.0340644331967548E-5"/>
    <m/>
    <m/>
    <m/>
  </r>
  <r>
    <x v="0"/>
    <m/>
    <n v="1283"/>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3.1E-4"/>
    <s v="decrease"/>
    <n v="1E-3"/>
    <s v="NA"/>
    <n v="3"/>
    <n v="0.31"/>
    <n v="3.1E-4"/>
    <m/>
    <s v="NA"/>
    <s v="NA"/>
    <s v="NA"/>
    <s v="NA"/>
    <s v="NA"/>
    <s v="NA"/>
    <n v="12450"/>
    <n v="12450"/>
    <s v="NA"/>
    <s v="NA"/>
    <n v="100"/>
    <s v="NA"/>
    <s v="delayed"/>
    <s v="NA"/>
    <s v="NA"/>
    <s v="NA"/>
    <s v="NA"/>
    <s v="NA"/>
    <n v="0"/>
    <n v="1"/>
    <n v="0"/>
    <m/>
    <m/>
    <m/>
    <m/>
    <m/>
    <m/>
    <m/>
    <m/>
    <m/>
    <m/>
    <n v="2.7782757101175023E-3"/>
    <n v="2.7782828584835876E-3"/>
    <n v="8.0327737162857996E-5"/>
    <n v="8.0340644331967548E-5"/>
    <m/>
    <m/>
    <m/>
  </r>
  <r>
    <x v="0"/>
    <m/>
    <n v="1284"/>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2.1000000000000001E-2"/>
    <s v="increase"/>
    <n v="5.0000000000000001E-3"/>
    <s v="NA"/>
    <n v="3"/>
    <n v="4.2"/>
    <n v="2.1000000000000001E-2"/>
    <m/>
    <s v="NA"/>
    <s v="NA"/>
    <s v="NA"/>
    <s v="NA"/>
    <s v="NA"/>
    <s v="NA"/>
    <n v="12100"/>
    <n v="12100"/>
    <s v="NA"/>
    <s v="NA"/>
    <n v="100"/>
    <s v="NA"/>
    <s v="delayed"/>
    <s v="NA"/>
    <s v="NA"/>
    <s v="NA"/>
    <s v="NA"/>
    <s v="NA"/>
    <n v="0"/>
    <n v="1"/>
    <n v="0"/>
    <m/>
    <m/>
    <m/>
    <m/>
    <m/>
    <m/>
    <m/>
    <m/>
    <m/>
    <m/>
    <n v="3.8154016870275712E-2"/>
    <n v="3.8172547027553468E-2"/>
    <n v="8.2651283307154936E-5"/>
    <n v="8.2665123584359755E-5"/>
    <m/>
    <m/>
    <m/>
  </r>
  <r>
    <x v="0"/>
    <m/>
    <n v="1285"/>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8.7000000000000001E-4"/>
    <s v="increase"/>
    <n v="1E-3"/>
    <s v="NA"/>
    <n v="3"/>
    <n v="0.87"/>
    <n v="8.7000000000000001E-4"/>
    <m/>
    <s v="NA"/>
    <s v="NA"/>
    <s v="NA"/>
    <s v="NA"/>
    <s v="NA"/>
    <s v="NA"/>
    <n v="12100"/>
    <n v="12100"/>
    <s v="NA"/>
    <s v="NA"/>
    <n v="100"/>
    <s v="NA"/>
    <s v="delayed"/>
    <s v="NA"/>
    <s v="NA"/>
    <s v="NA"/>
    <s v="NA"/>
    <s v="NA"/>
    <n v="0"/>
    <n v="1"/>
    <n v="0"/>
    <m/>
    <m/>
    <m/>
    <m/>
    <m/>
    <m/>
    <m/>
    <m/>
    <m/>
    <m/>
    <n v="7.9088435491706417E-3"/>
    <n v="7.9090084542367822E-3"/>
    <n v="8.2651458474848776E-5"/>
    <n v="8.2665123584359755E-5"/>
    <m/>
    <m/>
    <m/>
  </r>
  <r>
    <x v="0"/>
    <m/>
    <n v="1286"/>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6.3000000000000003E-4"/>
    <s v="decrease"/>
    <n v="1E-3"/>
    <s v="NA"/>
    <n v="3"/>
    <n v="0.63"/>
    <n v="6.3000000000000003E-4"/>
    <m/>
    <s v="NA"/>
    <s v="NA"/>
    <s v="NA"/>
    <s v="NA"/>
    <s v="NA"/>
    <s v="NA"/>
    <n v="12100"/>
    <n v="12100"/>
    <s v="NA"/>
    <s v="NA"/>
    <n v="100"/>
    <s v="NA"/>
    <s v="delayed"/>
    <s v="NA"/>
    <s v="NA"/>
    <s v="NA"/>
    <s v="NA"/>
    <s v="NA"/>
    <n v="0"/>
    <n v="1"/>
    <n v="0"/>
    <m/>
    <m/>
    <m/>
    <m/>
    <m/>
    <m/>
    <m/>
    <m/>
    <m/>
    <m/>
    <n v="5.7271787975774974E-3"/>
    <n v="5.7272414170662115E-3"/>
    <n v="8.2651458709321021E-5"/>
    <n v="8.2665123584359755E-5"/>
    <m/>
    <m/>
    <m/>
  </r>
  <r>
    <x v="0"/>
    <m/>
    <n v="1287"/>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7.3000000000000001E-3"/>
    <s v="increase"/>
    <n v="3.0000000000000001E-3"/>
    <s v="NA"/>
    <n v="3"/>
    <n v="2.4333333333333331"/>
    <n v="7.3000000000000001E-3"/>
    <m/>
    <s v="NA"/>
    <s v="NA"/>
    <s v="NA"/>
    <s v="NA"/>
    <s v="NA"/>
    <s v="NA"/>
    <n v="12600"/>
    <n v="12600"/>
    <s v="NA"/>
    <s v="NA"/>
    <n v="100"/>
    <s v="NA"/>
    <s v="delayed"/>
    <s v="NA"/>
    <s v="NA"/>
    <s v="NA"/>
    <s v="NA"/>
    <s v="NA"/>
    <n v="0"/>
    <n v="1"/>
    <n v="0"/>
    <m/>
    <m/>
    <m/>
    <m/>
    <m/>
    <m/>
    <m/>
    <m/>
    <m/>
    <m/>
    <n v="2.1672764551373083E-2"/>
    <n v="2.1676158803532894E-2"/>
    <n v="7.9371361158462602E-5"/>
    <n v="7.9383980312772889E-5"/>
    <m/>
    <m/>
    <m/>
  </r>
  <r>
    <x v="0"/>
    <m/>
    <n v="1288"/>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2.5999999999999998E-4"/>
    <s v="decrease"/>
    <n v="1E-3"/>
    <s v="NA"/>
    <n v="3"/>
    <n v="0.25999999999999995"/>
    <n v="2.5999999999999998E-4"/>
    <m/>
    <s v="NA"/>
    <s v="NA"/>
    <s v="NA"/>
    <s v="NA"/>
    <s v="NA"/>
    <s v="NA"/>
    <n v="12600"/>
    <n v="12600"/>
    <s v="NA"/>
    <s v="NA"/>
    <n v="100"/>
    <s v="NA"/>
    <s v="delayed"/>
    <s v="NA"/>
    <s v="NA"/>
    <s v="NA"/>
    <s v="NA"/>
    <s v="NA"/>
    <n v="0"/>
    <n v="1"/>
    <n v="0"/>
    <m/>
    <m/>
    <m/>
    <m/>
    <m/>
    <m/>
    <m/>
    <m/>
    <m/>
    <m/>
    <n v="2.3162578831289918E-3"/>
    <n v="2.3162620254225598E-3"/>
    <n v="7.9371378678563058E-5"/>
    <n v="7.9383980312772889E-5"/>
    <m/>
    <m/>
    <m/>
  </r>
  <r>
    <x v="0"/>
    <m/>
    <n v="1289"/>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6.9999999999999999E-4"/>
    <s v="decrease"/>
    <n v="2E-3"/>
    <s v="NA"/>
    <n v="3"/>
    <n v="0.35"/>
    <n v="6.9999999999999999E-4"/>
    <m/>
    <s v="NA"/>
    <s v="NA"/>
    <s v="NA"/>
    <s v="NA"/>
    <s v="NA"/>
    <s v="NA"/>
    <n v="12600"/>
    <n v="12600"/>
    <s v="NA"/>
    <s v="NA"/>
    <n v="100"/>
    <s v="NA"/>
    <s v="delayed"/>
    <s v="NA"/>
    <s v="NA"/>
    <s v="NA"/>
    <s v="NA"/>
    <s v="NA"/>
    <n v="0"/>
    <n v="1"/>
    <n v="0"/>
    <m/>
    <m/>
    <m/>
    <m/>
    <m/>
    <m/>
    <m/>
    <m/>
    <m/>
    <m/>
    <n v="3.1180326652452241E-3"/>
    <n v="3.1180427699413972E-3"/>
    <n v="7.937137867334543E-5"/>
    <n v="7.9383980312772889E-5"/>
    <m/>
    <m/>
    <m/>
  </r>
  <r>
    <x v="0"/>
    <m/>
    <s v="NA"/>
    <s v="NA"/>
    <s v="Ito, Ida, Tanaka"/>
    <n v="2018"/>
    <s v="Moral Suasion and Economic Incentives: Field Experimental Evidence from Energy Demand"/>
    <s v="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
    <n v="2"/>
    <s v="2012-2013"/>
    <x v="1"/>
    <m/>
    <x v="6"/>
    <x v="4"/>
    <x v="5"/>
    <m/>
    <m/>
    <m/>
    <m/>
    <s v="opt_out"/>
    <m/>
    <m/>
    <m/>
    <m/>
    <m/>
    <m/>
    <m/>
    <m/>
    <m/>
    <m/>
    <m/>
    <m/>
    <m/>
    <m/>
    <m/>
    <m/>
    <m/>
    <m/>
    <m/>
    <m/>
    <m/>
    <m/>
    <m/>
    <x v="3"/>
    <m/>
    <m/>
    <m/>
    <m/>
    <m/>
    <m/>
    <m/>
    <m/>
    <m/>
    <m/>
    <m/>
    <m/>
    <m/>
    <m/>
    <m/>
    <m/>
    <m/>
    <m/>
    <m/>
    <m/>
    <m/>
    <m/>
    <m/>
    <m/>
    <m/>
    <m/>
    <m/>
    <m/>
    <m/>
    <m/>
    <m/>
    <m/>
    <m/>
    <m/>
    <m/>
    <m/>
    <m/>
    <m/>
    <m/>
    <m/>
    <m/>
    <m/>
    <m/>
    <m/>
    <m/>
    <m/>
    <m/>
    <m/>
  </r>
  <r>
    <x v="0"/>
    <n v="14"/>
    <n v="1118"/>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3-star rating"/>
    <x v="0"/>
    <s v="choice of a high-efficiency appliance"/>
    <s v="dummy (0/1)"/>
    <n v="0.53"/>
    <s v="increase"/>
    <n v="0.26"/>
    <s v="NA"/>
    <n v="3"/>
    <n v="2.0384615384615383"/>
    <n v="0.6989323086185506"/>
    <n v="0.62948311196739493"/>
    <s v="NA"/>
    <s v="NA"/>
    <s v="NA"/>
    <s v="NA"/>
    <s v="NA"/>
    <s v="NA"/>
    <n v="148"/>
    <n v="1184"/>
    <s v="NA"/>
    <s v="NA"/>
    <s v="NA"/>
    <s v="NA"/>
    <s v="NA"/>
    <n v="0"/>
    <s v="NA"/>
    <n v="0"/>
    <s v="NA"/>
    <s v="numerical"/>
    <n v="0"/>
    <n v="0"/>
    <n v="1"/>
    <m/>
    <m/>
    <m/>
    <m/>
    <m/>
    <m/>
    <m/>
    <m/>
    <m/>
    <m/>
    <n v="0.16525664934411763"/>
    <n v="0.16678616424140319"/>
    <n v="6.7974570051877199E-3"/>
    <n v="6.8965517241379309E-3"/>
    <s v="NA"/>
    <n v="147"/>
    <s v="NA"/>
  </r>
  <r>
    <x v="0"/>
    <n v="14"/>
    <n v="1119"/>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5-star rating"/>
    <x v="0"/>
    <s v="choice of a high-efficiency appliance"/>
    <s v="dummy (0/1)"/>
    <n v="1.0900000000000001"/>
    <s v="increase"/>
    <n v="0.39"/>
    <s v="NA"/>
    <n v="3"/>
    <n v="2.7948717948717952"/>
    <n v="1.9742740725630656"/>
    <n v="0.74838172160706429"/>
    <s v="NA"/>
    <s v="NA"/>
    <s v="NA"/>
    <s v="NA"/>
    <s v="NA"/>
    <s v="NA"/>
    <n v="148"/>
    <n v="1184"/>
    <s v="NA"/>
    <s v="NA"/>
    <s v="NA"/>
    <s v="NA"/>
    <s v="NA"/>
    <n v="0"/>
    <s v="NA"/>
    <n v="0"/>
    <s v="NA"/>
    <s v="numerical"/>
    <n v="0"/>
    <n v="0"/>
    <n v="1"/>
    <m/>
    <m/>
    <m/>
    <m/>
    <m/>
    <m/>
    <m/>
    <m/>
    <m/>
    <m/>
    <n v="0.22390428433112008"/>
    <n v="0.22776270171385027"/>
    <n v="6.7844142609794983E-3"/>
    <n v="6.8965517241379309E-3"/>
    <s v="NA"/>
    <n v="147"/>
    <s v="NA"/>
  </r>
  <r>
    <x v="0"/>
    <n v="15"/>
    <n v="1154"/>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25530000000000003"/>
    <s v="increase"/>
    <s v="NA"/>
    <n v="1.23E-2"/>
    <n v="3"/>
    <n v="2.5125829401851192"/>
    <n v="0.29084881743573221"/>
    <n v="0.56348057873179402"/>
    <s v="NA"/>
    <s v="NA"/>
    <s v="NA"/>
    <s v="NA"/>
    <s v="NA"/>
    <s v="NA"/>
    <n v="500"/>
    <n v="2000"/>
    <s v="NA"/>
    <s v="NA"/>
    <s v="NA"/>
    <s v="NA"/>
    <s v="NA"/>
    <n v="0"/>
    <s v="NA"/>
    <n v="1"/>
    <s v="NA"/>
    <s v="numerical"/>
    <n v="0"/>
    <n v="0"/>
    <n v="1"/>
    <m/>
    <m/>
    <m/>
    <m/>
    <m/>
    <m/>
    <m/>
    <m/>
    <m/>
    <m/>
    <n v="0.11166339711480726"/>
    <n v="0.11213100003996684"/>
    <n v="2.0036912035849494E-3"/>
    <n v="2.012072434607646E-3"/>
    <s v="NA"/>
    <n v="498"/>
    <s v="NA"/>
  </r>
  <r>
    <x v="0"/>
    <n v="15"/>
    <n v="1153"/>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30480000000000002"/>
    <s v="increase"/>
    <s v="NA"/>
    <n v="1.6999999999999999E-3"/>
    <n v="3"/>
    <n v="3.1553563075360742"/>
    <n v="0.35635370513631415"/>
    <n v="0.5756154953221887"/>
    <s v="NA"/>
    <s v="NA"/>
    <s v="NA"/>
    <s v="NA"/>
    <s v="NA"/>
    <s v="NA"/>
    <n v="500"/>
    <n v="2000"/>
    <s v="NA"/>
    <s v="NA"/>
    <s v="NA"/>
    <s v="NA"/>
    <s v="NA"/>
    <n v="0"/>
    <s v="NA"/>
    <n v="1"/>
    <s v="NA"/>
    <s v="numerical"/>
    <n v="0"/>
    <n v="0"/>
    <n v="1"/>
    <m/>
    <m/>
    <m/>
    <m/>
    <m/>
    <m/>
    <m/>
    <m/>
    <m/>
    <m/>
    <n v="0.13972751589048554"/>
    <n v="0.14064765530909937"/>
    <n v="2.0032238113323235E-3"/>
    <n v="2.012072434607646E-3"/>
    <s v="NA"/>
    <n v="498"/>
    <s v="NA"/>
  </r>
  <r>
    <x v="0"/>
    <m/>
    <n v="1155"/>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5.91"/>
    <s v="increase"/>
    <s v="NA"/>
    <n v="0"/>
    <n v="1"/>
    <s v="NA"/>
    <s v="NA"/>
    <m/>
    <s v="NA"/>
    <s v="NA"/>
    <s v="NA"/>
    <s v="NA"/>
    <s v="NA"/>
    <s v="NA"/>
    <n v="500"/>
    <n v="2000"/>
    <s v="NA"/>
    <s v="NA"/>
    <s v="NA"/>
    <s v="NA"/>
    <s v="NA"/>
    <n v="0"/>
    <s v="NA"/>
    <n v="1"/>
    <s v="NA"/>
    <s v="numerical"/>
    <n v="0"/>
    <n v="0"/>
    <n v="1"/>
    <m/>
    <m/>
    <m/>
    <m/>
    <m/>
    <m/>
    <m/>
    <m/>
    <m/>
    <m/>
    <e v="#VALUE!"/>
    <e v="#VALUE!"/>
    <e v="#VALUE!"/>
    <n v="2.012072434607646E-3"/>
    <m/>
    <m/>
    <m/>
  </r>
  <r>
    <x v="0"/>
    <m/>
    <n v="1156"/>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3.19"/>
    <s v="increase"/>
    <s v="NA"/>
    <n v="0.01"/>
    <n v="3"/>
    <s v="NA"/>
    <s v="NA"/>
    <m/>
    <s v="NA"/>
    <s v="NA"/>
    <s v="NA"/>
    <s v="NA"/>
    <s v="NA"/>
    <s v="NA"/>
    <n v="500"/>
    <n v="2000"/>
    <s v="NA"/>
    <s v="NA"/>
    <s v="NA"/>
    <s v="NA"/>
    <s v="NA"/>
    <n v="0"/>
    <s v="NA"/>
    <n v="1"/>
    <s v="NA"/>
    <s v="numerical"/>
    <n v="0"/>
    <n v="0"/>
    <n v="1"/>
    <m/>
    <m/>
    <m/>
    <m/>
    <m/>
    <m/>
    <m/>
    <m/>
    <m/>
    <m/>
    <e v="#VALUE!"/>
    <e v="#VALUE!"/>
    <e v="#VALUE!"/>
    <n v="2.012072434607646E-3"/>
    <m/>
    <m/>
    <m/>
  </r>
  <r>
    <x v="0"/>
    <n v="16"/>
    <n v="1209"/>
    <n v="149"/>
    <s v="Kallbekken, Saelen, Hermansen"/>
    <n v="2013"/>
    <s v="Bridging the Energy Efficiency Gap: A Field Experiment on Lifetime Energy Costs and Household Appliances"/>
    <s v="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
    <n v="1"/>
    <n v="2011"/>
    <x v="0"/>
    <n v="11"/>
    <x v="19"/>
    <x v="2"/>
    <x v="21"/>
    <s v="revealed preference"/>
    <s v="retailer"/>
    <s v="store visitors"/>
    <n v="0"/>
    <s v="no such option"/>
    <n v="0"/>
    <s v="probably no"/>
    <s v="probably no"/>
    <s v="NA"/>
    <n v="0"/>
    <n v="0"/>
    <n v="1"/>
    <n v="0"/>
    <n v="0"/>
    <n v="0"/>
    <n v="0"/>
    <n v="0"/>
    <s v="additional label - compared to the EU A+++ label scale"/>
    <n v="0"/>
    <n v="1"/>
    <n v="0"/>
    <n v="0"/>
    <n v="0"/>
    <n v="0"/>
    <n v="0"/>
    <n v="0"/>
    <n v="0"/>
    <s v="NA"/>
    <x v="0"/>
    <s v="average energy use of the appliance sold"/>
    <s v="NA"/>
    <n v="2.3E-2"/>
    <s v="increase"/>
    <s v="NA"/>
    <n v="0.1"/>
    <n v="2"/>
    <n v="1.6449332384326785"/>
    <n v="2.326653954721758E-2"/>
    <n v="0.50574974653424165"/>
    <s v="NA"/>
    <n v="13471"/>
    <s v="NA"/>
    <s v="NA"/>
    <n v="5672"/>
    <s v="NA"/>
    <n v="19143"/>
    <n v="19143"/>
    <s v="NA"/>
    <s v="NA"/>
    <s v="NA"/>
    <s v="NA"/>
    <s v="NA"/>
    <n v="1"/>
    <n v="371.17189999999999"/>
    <n v="0"/>
    <s v="NA"/>
    <s v="alphabetical with +"/>
    <n v="0"/>
    <n v="0"/>
    <n v="0"/>
    <m/>
    <m/>
    <m/>
    <m/>
    <m/>
    <m/>
    <m/>
    <m/>
    <m/>
    <m/>
    <n v="1.1888103724369721E-2"/>
    <n v="1.1888663808582136E-2"/>
    <n v="5.2241144082275201E-5"/>
    <n v="5.2246603970741903E-5"/>
    <s v="NA"/>
    <n v="19141"/>
    <s v="dep_var - energy use of the appliance sold - opposite sign"/>
  </r>
  <r>
    <x v="0"/>
    <m/>
    <s v="NA"/>
    <s v="NA"/>
    <s v="Kusaka, Kojima, Watanabe"/>
    <m/>
    <m/>
    <m/>
    <n v="2"/>
    <m/>
    <x v="10"/>
    <m/>
    <x v="6"/>
    <x v="5"/>
    <x v="5"/>
    <s v="revealed preference"/>
    <m/>
    <m/>
    <n v="0"/>
    <s v="no such option"/>
    <m/>
    <m/>
    <m/>
    <m/>
    <n v="0"/>
    <n v="0"/>
    <n v="1"/>
    <n v="0"/>
    <n v="0"/>
    <n v="0"/>
    <n v="0"/>
    <n v="1"/>
    <s v="here choice architecture refers to the MANDATORY phasing out of low energy effieicncy appliances "/>
    <n v="0"/>
    <n v="0"/>
    <n v="0"/>
    <n v="0"/>
    <n v="0"/>
    <m/>
    <m/>
    <m/>
    <m/>
    <m/>
    <x v="3"/>
    <m/>
    <m/>
    <m/>
    <m/>
    <m/>
    <m/>
    <m/>
    <m/>
    <m/>
    <m/>
    <m/>
    <m/>
    <m/>
    <m/>
    <m/>
    <m/>
    <m/>
    <m/>
    <m/>
    <m/>
    <m/>
    <m/>
    <m/>
    <m/>
    <m/>
    <m/>
    <m/>
    <m/>
    <m/>
    <m/>
    <m/>
    <m/>
    <m/>
    <m/>
    <m/>
    <m/>
    <m/>
    <m/>
    <m/>
    <m/>
    <m/>
    <m/>
    <m/>
    <m/>
    <m/>
    <m/>
    <m/>
    <m/>
  </r>
  <r>
    <x v="4"/>
    <n v="17"/>
    <n v="1217"/>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1"/>
    <n v="0"/>
    <n v="0"/>
    <n v="0"/>
    <n v="0"/>
    <n v="0"/>
    <n v="0"/>
    <n v="0"/>
    <n v="0"/>
    <s v="NA"/>
    <x v="0"/>
    <s v="y represents the possession of energy-efficient"/>
    <s v="dummy (0/1)"/>
    <n v="0.35299999999999998"/>
    <s v="increase"/>
    <n v="7.0999999999999994E-2"/>
    <n v="0"/>
    <n v="3"/>
    <n v="3.2990742119196153"/>
    <n v="0.42333114343360179"/>
    <n v="0.58734488156533704"/>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5"/>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0"/>
    <n v="0"/>
    <n v="0"/>
    <n v="0"/>
    <n v="0"/>
    <n v="0"/>
    <n v="0"/>
    <n v="1"/>
    <n v="0"/>
    <s v="NA"/>
    <x v="0"/>
    <s v="y represents the possession of energy-efficient"/>
    <s v="dummy (0/1)"/>
    <n v="0.39400000000000002"/>
    <s v="increase"/>
    <n v="7.0999999999999994E-2"/>
    <n v="0"/>
    <n v="3"/>
    <n v="3.2990742119196153"/>
    <n v="0.48290054867475307"/>
    <n v="0.59724524587432648"/>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6"/>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0"/>
    <n v="0"/>
    <n v="0"/>
    <n v="0"/>
    <n v="0"/>
    <n v="0"/>
    <n v="0"/>
    <n v="1"/>
    <n v="0"/>
    <s v="NA"/>
    <x v="0"/>
    <s v="y represents the possession of energy-efficient"/>
    <s v="dummy (0/1)"/>
    <n v="0.45500000000000002"/>
    <s v="increase"/>
    <n v="0.22"/>
    <n v="3.7999999999999999E-2"/>
    <n v="3"/>
    <n v="2.0772692016703491"/>
    <n v="0.57617338303399124"/>
    <n v="0.61182736900173718"/>
    <s v="NA"/>
    <s v="NA"/>
    <s v="NA"/>
    <s v="NA"/>
    <s v="NA"/>
    <s v="NA"/>
    <n v="1143"/>
    <n v="1143"/>
    <s v="NA"/>
    <s v="NA"/>
    <s v="NA"/>
    <s v="NA"/>
    <s v="NA"/>
    <s v="NA"/>
    <s v="NA"/>
    <s v="NA"/>
    <s v="NA"/>
    <s v="NA"/>
    <n v="0"/>
    <n v="0"/>
    <n v="1"/>
    <n v="0"/>
    <n v="1"/>
    <m/>
    <m/>
    <m/>
    <m/>
    <m/>
    <m/>
    <m/>
    <m/>
    <n v="6.1326960044274084E-2"/>
    <n v="6.1404017491195166E-2"/>
    <n v="8.7564429394170699E-4"/>
    <n v="8.7719298245614037E-4"/>
    <s v="NA"/>
    <n v="1141"/>
    <s v="NA"/>
  </r>
  <r>
    <x v="4"/>
    <n v="17"/>
    <n v="1218"/>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1"/>
    <n v="0"/>
    <n v="0"/>
    <n v="0"/>
    <n v="0"/>
    <n v="0"/>
    <n v="0"/>
    <n v="0"/>
    <n v="0"/>
    <s v="NA"/>
    <x v="0"/>
    <s v="y represents the possession of energy-efficient"/>
    <s v="dummy (0/1)"/>
    <n v="0.64200000000000002"/>
    <s v="increase"/>
    <n v="0.21199999999999999"/>
    <n v="2E-3"/>
    <n v="3"/>
    <n v="3.0973904269614785"/>
    <n v="0.90027763655522586"/>
    <n v="0.65520542330294296"/>
    <s v="NA"/>
    <s v="NA"/>
    <s v="NA"/>
    <s v="NA"/>
    <s v="NA"/>
    <s v="NA"/>
    <n v="1143"/>
    <n v="1143"/>
    <s v="NA"/>
    <s v="NA"/>
    <s v="NA"/>
    <s v="NA"/>
    <s v="NA"/>
    <s v="NA"/>
    <s v="NA"/>
    <s v="NA"/>
    <s v="NA"/>
    <s v="NA"/>
    <n v="0"/>
    <n v="0"/>
    <n v="1"/>
    <n v="0"/>
    <n v="1"/>
    <m/>
    <m/>
    <m/>
    <m/>
    <m/>
    <m/>
    <m/>
    <m/>
    <n v="9.1234229157469829E-2"/>
    <n v="9.1488635914083044E-2"/>
    <n v="8.7559539426075063E-4"/>
    <n v="8.7719298245614037E-4"/>
    <s v="NA"/>
    <n v="1141"/>
    <s v="NA"/>
  </r>
  <r>
    <x v="0"/>
    <m/>
    <n v="1191"/>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1"/>
    <n v="0"/>
    <n v="0"/>
    <n v="0"/>
    <n v="0"/>
    <s v="Energy Star label with a rebate"/>
    <n v="0"/>
    <n v="0"/>
    <n v="0"/>
    <n v="1"/>
    <n v="0"/>
    <n v="0"/>
    <n v="0"/>
    <n v="0"/>
    <n v="0"/>
    <s v="NA"/>
    <x v="2"/>
    <s v="Maximum simulated likelihood estimates: ES refrigerator choice"/>
    <s v="log scale"/>
    <n v="2.08"/>
    <s v="increase"/>
    <n v="0.22900000000000001"/>
    <n v="0.01"/>
    <n v="1"/>
    <n v="9.0829694323144103"/>
    <s v="NA"/>
    <m/>
    <s v="NA"/>
    <s v="NA"/>
    <s v="NA"/>
    <s v="NA"/>
    <s v="NA"/>
    <s v="NA"/>
    <n v="355"/>
    <n v="19860"/>
    <s v="NA"/>
    <s v="NA"/>
    <n v="50"/>
    <s v="NA"/>
    <s v="delayed"/>
    <n v="1"/>
    <n v="14"/>
    <n v="1"/>
    <n v="0.2"/>
    <s v="NA"/>
    <n v="0"/>
    <n v="0"/>
    <n v="1"/>
    <m/>
    <m/>
    <m/>
    <m/>
    <m/>
    <m/>
    <m/>
    <m/>
    <m/>
    <m/>
    <n v="0.43424883131426489"/>
    <n v="0.46512108920045175"/>
    <n v="2.6926498047349623E-3"/>
    <n v="2.840909090909091E-3"/>
    <m/>
    <m/>
    <m/>
  </r>
  <r>
    <x v="0"/>
    <m/>
    <n v="1192"/>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0"/>
    <n v="0"/>
    <n v="0"/>
    <n v="0"/>
    <n v="0"/>
    <s v="Energy Star label without rebate"/>
    <n v="0"/>
    <n v="0"/>
    <n v="0"/>
    <n v="1"/>
    <n v="0"/>
    <n v="0"/>
    <n v="0"/>
    <n v="0"/>
    <n v="0"/>
    <s v="NA"/>
    <x v="2"/>
    <s v="Maximum simulated likelihood estimates: ES refrigerator choice"/>
    <s v="log scale"/>
    <n v="2.3839999999999999"/>
    <s v="increase"/>
    <n v="0.18"/>
    <n v="0.01"/>
    <n v="1"/>
    <n v="13.244444444444444"/>
    <s v="NA"/>
    <m/>
    <s v="NA"/>
    <s v="NA"/>
    <s v="NA"/>
    <s v="NA"/>
    <s v="NA"/>
    <s v="NA"/>
    <n v="349"/>
    <n v="19452"/>
    <s v="NA"/>
    <s v="NA"/>
    <s v="NA"/>
    <s v="NA"/>
    <s v="NA"/>
    <n v="1"/>
    <n v="14"/>
    <n v="1"/>
    <n v="0.2"/>
    <s v="NA"/>
    <n v="0"/>
    <n v="0"/>
    <n v="1"/>
    <m/>
    <m/>
    <m/>
    <m/>
    <m/>
    <m/>
    <m/>
    <m/>
    <m/>
    <m/>
    <n v="0.57835709203923469"/>
    <n v="0.65999050186206398"/>
    <n v="2.3283435703186023E-3"/>
    <n v="2.8901734104046241E-3"/>
    <m/>
    <m/>
    <m/>
  </r>
  <r>
    <x v="4"/>
    <m/>
    <s v="NA"/>
    <s v="NA"/>
    <s v="Liang, Liu, Qiu, Wang, Xing"/>
    <n v="2020"/>
    <s v="Time-of-Use Electricity Pricing and Residential Low-carbon Energy Technology Adoption"/>
    <s v="This paper provides the first empirical evidence on the correlation between Time-_x000a_Of-Use (TOU) electricity pricing and the adoption of energy efficient appliances_x000a_and solar panels. We use household-level data in Phoenix, Arizona from an appliance_x000a_saturation survey of about 16,000 customers conducted by a major electric_x000a_utility. Our empirical results show that TOU consumers are associated with 27%_x000a_higher likelihood to install solar panels but not more likely to adopt energy-efficient_x000a_air conditioning based on the propensity score matching and coarsened exact_x000a_matching methods. The findings highlight that policy makers could combine TOU_x000a_and solar panels when implementing educational programs or when giving out_x000a_financial incentives to consumers. Our results imply that TOU is associated with_x000a_a similar impact of the incentive offered by $2,070~$10,472 tax credits or rebates_x000a_on solar adoption."/>
    <n v="2"/>
    <n v="2020"/>
    <x v="11"/>
    <m/>
    <x v="6"/>
    <x v="4"/>
    <x v="5"/>
    <m/>
    <m/>
    <m/>
    <m/>
    <s v="NA"/>
    <m/>
    <m/>
    <m/>
    <s v="the intervention is time of use pricing. Not really included in the scope of the study"/>
    <m/>
    <m/>
    <m/>
    <m/>
    <m/>
    <m/>
    <m/>
    <m/>
    <m/>
    <m/>
    <m/>
    <m/>
    <m/>
    <m/>
    <m/>
    <m/>
    <m/>
    <m/>
    <m/>
    <x v="3"/>
    <m/>
    <m/>
    <m/>
    <m/>
    <m/>
    <m/>
    <m/>
    <m/>
    <m/>
    <m/>
    <m/>
    <m/>
    <m/>
    <m/>
    <m/>
    <m/>
    <m/>
    <m/>
    <m/>
    <m/>
    <m/>
    <m/>
    <m/>
    <m/>
    <s v="NA"/>
    <m/>
    <s v="NA"/>
    <m/>
    <m/>
    <m/>
    <m/>
    <m/>
    <m/>
    <m/>
    <m/>
    <m/>
    <m/>
    <m/>
    <m/>
    <m/>
    <m/>
    <m/>
    <m/>
    <m/>
    <m/>
    <m/>
    <m/>
    <m/>
  </r>
  <r>
    <x v="0"/>
    <m/>
    <n v="103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8000000000000003E-2"/>
    <s v="decrease"/>
    <n v="2.1000000000000001E-2"/>
    <n v="0.01"/>
    <n v="1"/>
    <n v="2.7619047619047619"/>
    <n v="5.9714995710287599E-2"/>
    <m/>
    <s v="NA"/>
    <n v="378"/>
    <s v="NA"/>
    <s v="NA"/>
    <n v="193"/>
    <s v="NA"/>
    <n v="571"/>
    <n v="25685"/>
    <s v="NA"/>
    <s v="NA"/>
    <s v="NA"/>
    <s v="NA"/>
    <s v="NA"/>
    <s v="NA"/>
    <s v="NA"/>
    <s v="NA"/>
    <s v="NA"/>
    <s v="NA"/>
    <n v="1"/>
    <n v="0"/>
    <n v="1"/>
    <m/>
    <m/>
    <m/>
    <m/>
    <m/>
    <m/>
    <m/>
    <m/>
    <m/>
    <m/>
    <n v="0.11481772350402021"/>
    <n v="0.11532630395472614"/>
    <n v="1.754075624280991E-3"/>
    <n v="1.7605633802816902E-3"/>
    <m/>
    <m/>
    <m/>
  </r>
  <r>
    <x v="0"/>
    <m/>
    <n v="103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5"/>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7"/>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1"/>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8"/>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1999999999999998E-2"/>
    <s v="decrease"/>
    <n v="2.1000000000000001E-2"/>
    <n v="0.05"/>
    <n v="1"/>
    <n v="2.4761904761904758"/>
    <n v="5.3375742513364743E-2"/>
    <m/>
    <s v="NA"/>
    <n v="378"/>
    <s v="NA"/>
    <s v="NA"/>
    <n v="193"/>
    <s v="NA"/>
    <n v="571"/>
    <n v="25685"/>
    <s v="NA"/>
    <s v="NA"/>
    <s v="NA"/>
    <s v="NA"/>
    <s v="NA"/>
    <s v="NA"/>
    <s v="NA"/>
    <s v="NA"/>
    <s v="NA"/>
    <s v="NA"/>
    <n v="1"/>
    <n v="0"/>
    <n v="1"/>
    <m/>
    <m/>
    <m/>
    <m/>
    <m/>
    <m/>
    <m/>
    <m/>
    <m/>
    <m/>
    <n v="0.10307341191556092"/>
    <n v="0.10344077825830729"/>
    <n v="1.7541851054656437E-3"/>
    <n v="1.7605633802816902E-3"/>
    <m/>
    <m/>
    <m/>
  </r>
  <r>
    <x v="0"/>
    <m/>
    <n v="1039"/>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6000000000000001E-2"/>
    <s v="decrease"/>
    <n v="2.1000000000000001E-2"/>
    <n v="0.01"/>
    <n v="1"/>
    <n v="2.6666666666666665"/>
    <n v="5.7597683736611227E-2"/>
    <m/>
    <s v="NA"/>
    <n v="378"/>
    <s v="NA"/>
    <s v="NA"/>
    <n v="193"/>
    <s v="NA"/>
    <n v="571"/>
    <n v="24920"/>
    <s v="NA"/>
    <s v="NA"/>
    <s v="NA"/>
    <s v="NA"/>
    <s v="NA"/>
    <s v="NA"/>
    <s v="NA"/>
    <s v="NA"/>
    <s v="NA"/>
    <s v="NA"/>
    <n v="1"/>
    <n v="0"/>
    <n v="1"/>
    <m/>
    <m/>
    <m/>
    <m/>
    <m/>
    <m/>
    <m/>
    <m/>
    <m/>
    <m/>
    <n v="0.1109080511509852"/>
    <n v="0.11136618214120936"/>
    <n v="1.7541161049408759E-3"/>
    <n v="1.7605633802816902E-3"/>
    <m/>
    <m/>
    <m/>
  </r>
  <r>
    <x v="0"/>
    <m/>
    <n v="1040"/>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4.4999999999999998E-2"/>
    <s v="decrease"/>
    <n v="2.1999999999999999E-2"/>
    <n v="0.05"/>
    <n v="1"/>
    <n v="2.0454545454545454"/>
    <n v="4.6027859908716939E-2"/>
    <m/>
    <s v="NA"/>
    <n v="378"/>
    <s v="NA"/>
    <s v="NA"/>
    <n v="193"/>
    <s v="NA"/>
    <n v="571"/>
    <n v="22626"/>
    <s v="NA"/>
    <s v="NA"/>
    <s v="NA"/>
    <s v="NA"/>
    <s v="NA"/>
    <s v="NA"/>
    <s v="NA"/>
    <s v="NA"/>
    <s v="NA"/>
    <s v="NA"/>
    <n v="1"/>
    <n v="0"/>
    <n v="1"/>
    <m/>
    <m/>
    <m/>
    <m/>
    <m/>
    <m/>
    <m/>
    <m/>
    <m/>
    <m/>
    <n v="8.5287714841797826E-2"/>
    <n v="8.5495416206607486E-2"/>
    <n v="1.7542922310596193E-3"/>
    <n v="1.7605633802816902E-3"/>
    <m/>
    <m/>
    <m/>
  </r>
  <r>
    <x v="0"/>
    <m/>
    <n v="1041"/>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7000000000000002E-2"/>
    <s v="decrease"/>
    <n v="2.9000000000000001E-2"/>
    <n v="0.01"/>
    <n v="1"/>
    <n v="1.9655172413793103"/>
    <n v="5.8655810395500163E-2"/>
    <m/>
    <s v="NA"/>
    <n v="378"/>
    <s v="NA"/>
    <s v="NA"/>
    <n v="193"/>
    <s v="NA"/>
    <n v="571"/>
    <n v="25685"/>
    <s v="NA"/>
    <s v="NA"/>
    <s v="NA"/>
    <s v="NA"/>
    <s v="NA"/>
    <s v="NA"/>
    <s v="NA"/>
    <s v="NA"/>
    <s v="NA"/>
    <s v="NA"/>
    <n v="1"/>
    <n v="0"/>
    <n v="1"/>
    <m/>
    <m/>
    <m/>
    <m/>
    <m/>
    <m/>
    <m/>
    <m/>
    <m/>
    <m/>
    <n v="8.1977483380554009E-2"/>
    <n v="8.2161865388990771E-2"/>
    <n v="1.7543060171508703E-3"/>
    <n v="1.7605633802816902E-3"/>
    <m/>
    <m/>
    <m/>
  </r>
  <r>
    <x v="0"/>
    <m/>
    <n v="1042"/>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4000000000000001E-2"/>
    <s v="decrease"/>
    <n v="2.1000000000000001E-2"/>
    <n v="0.05"/>
    <n v="1"/>
    <n v="3.0476190476190474"/>
    <n v="6.6092398761505189E-2"/>
    <m/>
    <s v="NA"/>
    <n v="378"/>
    <s v="NA"/>
    <s v="NA"/>
    <n v="193"/>
    <s v="NA"/>
    <n v="571"/>
    <n v="25685"/>
    <s v="NA"/>
    <s v="NA"/>
    <s v="NA"/>
    <s v="NA"/>
    <s v="NA"/>
    <s v="NA"/>
    <s v="NA"/>
    <s v="NA"/>
    <s v="NA"/>
    <s v="NA"/>
    <n v="1"/>
    <n v="0"/>
    <n v="1"/>
    <m/>
    <m/>
    <m/>
    <m/>
    <m/>
    <m/>
    <m/>
    <m/>
    <m/>
    <m/>
    <n v="0.12651408859229724"/>
    <n v="0.12719563288286462"/>
    <n v="1.7539267521528995E-3"/>
    <n v="1.7605633802816902E-3"/>
    <m/>
    <m/>
    <m/>
  </r>
  <r>
    <x v="0"/>
    <m/>
    <n v="1043"/>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5000000000000002E-2"/>
    <s v="decrease"/>
    <n v="2.1000000000000001E-2"/>
    <n v="0.01"/>
    <n v="1"/>
    <n v="3.0952380952380953"/>
    <n v="6.7159024384192634E-2"/>
    <m/>
    <s v="NA"/>
    <n v="378"/>
    <s v="NA"/>
    <s v="NA"/>
    <n v="193"/>
    <s v="NA"/>
    <n v="571"/>
    <n v="24920"/>
    <s v="NA"/>
    <s v="NA"/>
    <s v="NA"/>
    <s v="NA"/>
    <s v="NA"/>
    <s v="NA"/>
    <s v="NA"/>
    <s v="NA"/>
    <s v="NA"/>
    <s v="NA"/>
    <n v="1"/>
    <n v="0"/>
    <n v="1"/>
    <m/>
    <m/>
    <m/>
    <m/>
    <m/>
    <m/>
    <m/>
    <m/>
    <m/>
    <m/>
    <n v="0.12845849802371542"/>
    <n v="0.12917216710458213"/>
    <n v="1.7538975364909846E-3"/>
    <n v="1.7605633802816902E-3"/>
    <m/>
    <m/>
    <m/>
  </r>
  <r>
    <x v="0"/>
    <m/>
    <n v="1044"/>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9000000000000006E-2"/>
    <s v="decrease"/>
    <n v="2.5999999999999999E-2"/>
    <n v="0.01"/>
    <n v="1"/>
    <n v="2.6538461538461542"/>
    <n v="7.1436209148346252E-2"/>
    <m/>
    <s v="NA"/>
    <n v="378"/>
    <s v="NA"/>
    <s v="NA"/>
    <n v="193"/>
    <s v="NA"/>
    <n v="571"/>
    <n v="20600"/>
    <s v="NA"/>
    <s v="NA"/>
    <s v="NA"/>
    <s v="NA"/>
    <s v="NA"/>
    <s v="NA"/>
    <s v="NA"/>
    <s v="NA"/>
    <s v="NA"/>
    <s v="NA"/>
    <n v="1"/>
    <n v="0"/>
    <n v="1"/>
    <m/>
    <m/>
    <m/>
    <m/>
    <m/>
    <m/>
    <m/>
    <m/>
    <m/>
    <m/>
    <n v="0.11038135154213211"/>
    <n v="0.11083295461476669"/>
    <n v="1.7541212363579208E-3"/>
    <n v="1.7605633802816902E-3"/>
    <m/>
    <m/>
    <m/>
  </r>
  <r>
    <x v="1"/>
    <n v="18"/>
    <n v="1010"/>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1"/>
    <n v="0"/>
    <n v="0"/>
    <s v="aggregated already implemented and planned installations together?"/>
    <x v="0"/>
    <s v="adoption of renewable and energy saving appliances"/>
    <s v="dummy (0/1)"/>
    <n v="0.105"/>
    <s v="increase"/>
    <s v="NA"/>
    <n v="0.1"/>
    <n v="2"/>
    <n v="1.6540291281334114"/>
    <n v="4.2000000000000003E-2"/>
    <n v="0.5262259093720687"/>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9"/>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0"/>
    <n v="1"/>
    <n v="0"/>
    <s v="aggregated already implemented and planned installations together?"/>
    <x v="0"/>
    <s v="adoption of renewable and energy saving appliances"/>
    <s v="dummy (0/1)"/>
    <n v="0.42199999999999999"/>
    <s v="increase"/>
    <s v="NA"/>
    <n v="0.01"/>
    <n v="1"/>
    <n v="2.6014087465590463"/>
    <n v="0.16600000000000001"/>
    <n v="0.60396173310922441"/>
    <s v="NA"/>
    <s v="NA"/>
    <s v="NA"/>
    <s v="NA"/>
    <s v="NA"/>
    <s v="NA"/>
    <n v="196"/>
    <n v="196"/>
    <s v="NA"/>
    <s v="NA"/>
    <s v="NA"/>
    <s v="NA"/>
    <s v="current "/>
    <s v="NA"/>
    <s v="NA"/>
    <s v="NA"/>
    <s v="NA"/>
    <s v="NA"/>
    <n v="0"/>
    <n v="0"/>
    <n v="1"/>
    <m/>
    <m/>
    <m/>
    <m/>
    <m/>
    <m/>
    <m/>
    <m/>
    <m/>
    <m/>
    <n v="0.18268782595451913"/>
    <n v="0.18476191295756308"/>
    <n v="5.1222290649031235E-3"/>
    <n v="5.1813471502590676E-3"/>
    <s v="NA"/>
    <n v="194"/>
    <s v="NA"/>
  </r>
  <r>
    <x v="1"/>
    <n v="18"/>
    <n v="1011"/>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0"/>
    <n v="1"/>
    <n v="0"/>
    <s v="aggregated already implemented and planned installations together?"/>
    <x v="0"/>
    <s v="adoption of renewable and energy saving appliances"/>
    <s v="dummy (0/1)"/>
    <n v="0.60199999999999998"/>
    <s v="decrease"/>
    <s v="NA"/>
    <n v="0.05"/>
    <n v="1"/>
    <n v="1.9722675325821368"/>
    <n v="0.23599999999999999"/>
    <n v="0.64611374129762467"/>
    <s v="NA"/>
    <s v="NA"/>
    <s v="NA"/>
    <s v="NA"/>
    <s v="NA"/>
    <s v="NA"/>
    <n v="196"/>
    <n v="196"/>
    <s v="NA"/>
    <s v="NA"/>
    <s v="NA"/>
    <s v="NA"/>
    <s v="current "/>
    <s v="NA"/>
    <s v="NA"/>
    <s v="NA"/>
    <s v="NA"/>
    <s v="NA"/>
    <n v="0"/>
    <n v="0"/>
    <n v="1"/>
    <m/>
    <m/>
    <m/>
    <m/>
    <m/>
    <m/>
    <m/>
    <m/>
    <m/>
    <m/>
    <n v="0.13949879819299352"/>
    <n v="0.14041439085865218"/>
    <n v="5.126211648265694E-3"/>
    <n v="5.1813471502590676E-3"/>
    <s v="NA"/>
    <n v="194"/>
    <s v="NA"/>
  </r>
  <r>
    <x v="1"/>
    <n v="18"/>
    <n v="1008"/>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1"/>
    <n v="0"/>
    <n v="0"/>
    <s v="aggregated already implemented and planned installations together?"/>
    <x v="0"/>
    <s v="adoption of renewable and energy saving appliances"/>
    <s v="dummy (0/1)"/>
    <n v="0.65300000000000002"/>
    <s v="increase"/>
    <s v="NA"/>
    <n v="0.05"/>
    <n v="1"/>
    <n v="1.9742709570280526"/>
    <n v="0.25600000000000001"/>
    <n v="0.6576861870231604"/>
    <s v="NA"/>
    <s v="NA"/>
    <s v="NA"/>
    <s v="NA"/>
    <s v="NA"/>
    <s v="NA"/>
    <n v="169"/>
    <n v="169"/>
    <s v="NA"/>
    <s v="NA"/>
    <s v="NA"/>
    <s v="NA"/>
    <s v="NA"/>
    <s v="NA"/>
    <s v="NA"/>
    <s v="NA"/>
    <s v="NA"/>
    <s v="NA"/>
    <n v="0"/>
    <n v="0"/>
    <n v="1"/>
    <m/>
    <m/>
    <m/>
    <m/>
    <m/>
    <m/>
    <m/>
    <m/>
    <m/>
    <m/>
    <n v="0.15014542072566855"/>
    <n v="0.15128920726322537"/>
    <n v="5.9492626192623162E-3"/>
    <n v="6.024096385542169E-3"/>
    <s v="NA"/>
    <n v="167"/>
    <s v="NA"/>
  </r>
  <r>
    <x v="1"/>
    <n v="18"/>
    <n v="1012"/>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1"/>
    <n v="0"/>
    <n v="0"/>
    <s v="aggregated already implemented and planned installations together?"/>
    <x v="0"/>
    <s v="adoption of renewable and energy saving appliances"/>
    <s v="dummy (0/1)"/>
    <n v="0.70499999999999996"/>
    <s v="increase"/>
    <s v="NA"/>
    <n v="0.1"/>
    <n v="1"/>
    <n v="1.6540291281334114"/>
    <n v="0.26200000000000001"/>
    <n v="0.66929540277744604"/>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7"/>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0"/>
    <n v="1"/>
    <n v="0"/>
    <s v="aggregated already implemented and planned installations together?"/>
    <x v="0"/>
    <s v="adoption of renewable and energy saving appliances "/>
    <s v="dummy (0/1)"/>
    <n v="0.80900000000000005"/>
    <s v="increase"/>
    <s v="NA"/>
    <n v="0.01"/>
    <n v="1"/>
    <n v="2.6014087465590463"/>
    <n v="0.31"/>
    <n v="0.69189636943595911"/>
    <s v="NA"/>
    <s v="NA"/>
    <s v="NA"/>
    <s v="NA"/>
    <s v="NA"/>
    <s v="NA"/>
    <n v="196"/>
    <n v="196"/>
    <s v="NA"/>
    <s v="NA"/>
    <s v="NA"/>
    <s v="NA"/>
    <s v="NA"/>
    <s v="NA"/>
    <s v="NA"/>
    <s v="NA"/>
    <s v="NA"/>
    <s v="NA"/>
    <n v="0"/>
    <n v="0"/>
    <n v="1"/>
    <m/>
    <m/>
    <m/>
    <m/>
    <m/>
    <m/>
    <m/>
    <m/>
    <m/>
    <m/>
    <n v="0.18268782595451913"/>
    <n v="0.18476191295756308"/>
    <n v="5.1222290649031235E-3"/>
    <n v="5.1813471502590676E-3"/>
    <s v="NA"/>
    <n v="194"/>
    <s v="NA"/>
  </r>
  <r>
    <x v="0"/>
    <n v="19"/>
    <n v="1130"/>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4.4999999999999998E-2"/>
    <s v="increase"/>
    <n v="0.27100000000000002"/>
    <s v="NA"/>
    <n v="3"/>
    <n v="0.16605166051660514"/>
    <n v="4.6027859908716939E-2"/>
    <n v="0.51124810194685477"/>
    <s v="NA"/>
    <s v="NA"/>
    <s v="NA"/>
    <s v="NA"/>
    <s v="NA"/>
    <s v="NA"/>
    <n v="504"/>
    <n v="504"/>
    <s v="NA"/>
    <s v="NA"/>
    <s v="NA"/>
    <s v="NA"/>
    <s v="NA"/>
    <n v="0"/>
    <s v="NA"/>
    <n v="0"/>
    <s v="NA"/>
    <s v="other"/>
    <n v="0"/>
    <n v="0"/>
    <n v="1"/>
    <m/>
    <m/>
    <m/>
    <m/>
    <m/>
    <m/>
    <m/>
    <m/>
    <m/>
    <m/>
    <n v="7.3963265165038466E-3"/>
    <n v="7.396461394537558E-3"/>
    <n v="1.9880715646263896E-3"/>
    <n v="1.996007984031936E-3"/>
    <s v="NA"/>
    <n v="502"/>
    <s v="NA"/>
  </r>
  <r>
    <x v="0"/>
    <n v="19"/>
    <n v="1131"/>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184"/>
    <s v="increase"/>
    <n v="0.26900000000000002"/>
    <s v="NA"/>
    <n v="3"/>
    <n v="0.68401486988847582"/>
    <n v="0.20201582309630139"/>
    <n v="0.54587065655419365"/>
    <s v="NA"/>
    <s v="NA"/>
    <s v="NA"/>
    <s v="NA"/>
    <s v="NA"/>
    <s v="NA"/>
    <n v="504"/>
    <n v="504"/>
    <s v="NA"/>
    <s v="NA"/>
    <s v="NA"/>
    <s v="NA"/>
    <s v="NA"/>
    <n v="0"/>
    <s v="NA"/>
    <n v="0"/>
    <s v="NA"/>
    <s v="alphabetical"/>
    <n v="0"/>
    <n v="0"/>
    <n v="1"/>
    <m/>
    <m/>
    <m/>
    <m/>
    <m/>
    <m/>
    <m/>
    <m/>
    <m/>
    <m/>
    <n v="3.0454311448901306E-2"/>
    <n v="3.0463731795209874E-2"/>
    <n v="1.988069858337372E-3"/>
    <n v="1.996007984031936E-3"/>
    <s v="NA"/>
    <n v="502"/>
    <s v="NA"/>
  </r>
  <r>
    <x v="0"/>
    <n v="19"/>
    <n v="1129"/>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22800000000000001"/>
    <s v="increase"/>
    <n v="0.26900000000000002"/>
    <s v="NA"/>
    <n v="3"/>
    <n v="0.84758364312267653"/>
    <n v="0.25608532543234408"/>
    <n v="0.55675435289294073"/>
    <s v="NA"/>
    <s v="NA"/>
    <s v="NA"/>
    <s v="NA"/>
    <s v="NA"/>
    <s v="NA"/>
    <n v="504"/>
    <n v="504"/>
    <s v="NA"/>
    <s v="NA"/>
    <s v="NA"/>
    <s v="NA"/>
    <s v="NA"/>
    <n v="0"/>
    <s v="NA"/>
    <n v="0"/>
    <s v="NA"/>
    <s v="numerical"/>
    <n v="0"/>
    <n v="0"/>
    <n v="1"/>
    <m/>
    <m/>
    <m/>
    <m/>
    <m/>
    <m/>
    <m/>
    <m/>
    <m/>
    <m/>
    <n v="3.7727497501766814E-2"/>
    <n v="3.7745412792349338E-2"/>
    <n v="1.9880675351566339E-3"/>
    <n v="1.996007984031936E-3"/>
    <s v="NA"/>
    <n v="502"/>
    <s v="NA"/>
  </r>
  <r>
    <x v="0"/>
    <n v="19"/>
    <n v="1132"/>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26500000000000001"/>
    <s v="decrease"/>
    <n v="0.27300000000000002"/>
    <s v="NA"/>
    <n v="3"/>
    <n v="0.97069597069597069"/>
    <n v="0.30343097577836886"/>
    <n v="0.56586500289548169"/>
    <s v="NA"/>
    <s v="NA"/>
    <s v="NA"/>
    <s v="NA"/>
    <s v="NA"/>
    <s v="NA"/>
    <n v="504"/>
    <n v="504"/>
    <s v="NA"/>
    <s v="NA"/>
    <s v="NA"/>
    <s v="NA"/>
    <s v="NA"/>
    <n v="0"/>
    <s v="NA"/>
    <n v="0"/>
    <s v="NA"/>
    <s v="numerical"/>
    <n v="0"/>
    <n v="0"/>
    <n v="1"/>
    <m/>
    <m/>
    <m/>
    <m/>
    <m/>
    <m/>
    <m/>
    <m/>
    <m/>
    <m/>
    <n v="4.3197873779519926E-2"/>
    <n v="4.322477379226973E-2"/>
    <n v="1.9880646305212315E-3"/>
    <n v="1.996007984031936E-3"/>
    <s v="NA"/>
    <n v="502"/>
    <s v="NA"/>
  </r>
  <r>
    <x v="0"/>
    <n v="19"/>
    <n v="1133"/>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34599999999999997"/>
    <s v="increase"/>
    <n v="0.26800000000000002"/>
    <s v="NA"/>
    <n v="3"/>
    <n v="1.2910447761194028"/>
    <n v="0.41340261581767712"/>
    <n v="0.58564725444237853"/>
    <s v="NA"/>
    <s v="NA"/>
    <s v="NA"/>
    <s v="NA"/>
    <s v="NA"/>
    <s v="NA"/>
    <n v="504"/>
    <n v="504"/>
    <s v="NA"/>
    <s v="NA"/>
    <s v="NA"/>
    <s v="NA"/>
    <s v="NA"/>
    <n v="0"/>
    <s v="NA"/>
    <n v="0"/>
    <s v="NA"/>
    <s v="other"/>
    <n v="0"/>
    <n v="0"/>
    <n v="1"/>
    <m/>
    <m/>
    <m/>
    <m/>
    <m/>
    <m/>
    <m/>
    <m/>
    <m/>
    <m/>
    <n v="5.7412847349308176E-2"/>
    <n v="5.7476054483562668E-2"/>
    <n v="1.9880498745698505E-3"/>
    <n v="1.996007984031936E-3"/>
    <s v="NA"/>
    <n v="502"/>
    <s v="NA"/>
  </r>
  <r>
    <x v="0"/>
    <n v="19"/>
    <n v="1128"/>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47499999999999998"/>
    <s v="increase"/>
    <n v="0.26700000000000002"/>
    <n v="0.1"/>
    <n v="1"/>
    <n v="1.7790262172284643"/>
    <n v="0.60801419748578289"/>
    <n v="0.61656650452131923"/>
    <s v="NA"/>
    <s v="NA"/>
    <s v="NA"/>
    <s v="NA"/>
    <s v="NA"/>
    <s v="NA"/>
    <n v="504"/>
    <n v="504"/>
    <s v="NA"/>
    <s v="NA"/>
    <s v="NA"/>
    <s v="NA"/>
    <s v="NA"/>
    <n v="0"/>
    <s v="NA"/>
    <n v="0"/>
    <s v="NA"/>
    <s v="alphabetical"/>
    <n v="0"/>
    <n v="0"/>
    <n v="1"/>
    <m/>
    <m/>
    <m/>
    <m/>
    <m/>
    <m/>
    <m/>
    <m/>
    <m/>
    <m/>
    <n v="7.8996479816553555E-2"/>
    <n v="7.9161422211521337E-2"/>
    <n v="1.9879935001832043E-3"/>
    <n v="1.996007984031936E-3"/>
    <s v="NA"/>
    <n v="502"/>
    <s v="NA"/>
  </r>
  <r>
    <x v="0"/>
    <n v="20"/>
    <n v="1048"/>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57299999999999995"/>
    <s v="decrease"/>
    <n v="0.29399999999999998"/>
    <n v="0.1"/>
    <n v="1"/>
    <n v="1.9489795918367347"/>
    <n v="0.77357981775294093"/>
    <n v="0.63945512092377221"/>
    <s v="NA"/>
    <s v="NA"/>
    <s v="NA"/>
    <s v="NA"/>
    <n v="36"/>
    <s v="NA"/>
    <n v="3404"/>
    <n v="3404"/>
    <s v="NA"/>
    <s v="NA"/>
    <s v="NA"/>
    <n v="0.13"/>
    <s v="NA"/>
    <s v="NA"/>
    <s v="NA"/>
    <s v="NA"/>
    <s v="NA"/>
    <s v="NA"/>
    <n v="1"/>
    <n v="1"/>
    <n v="1"/>
    <m/>
    <m/>
    <m/>
    <m/>
    <m/>
    <m/>
    <m/>
    <m/>
    <m/>
    <m/>
    <n v="3.3386457206729767E-2"/>
    <n v="3.339887030924775E-2"/>
    <n v="2.9385799462070103E-4"/>
    <n v="2.9403116730373417E-4"/>
    <s v="NA"/>
    <n v="3402"/>
    <s v="NA"/>
  </r>
  <r>
    <x v="0"/>
    <n v="20"/>
    <n v="1051"/>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77300000000000002"/>
    <s v="decrease"/>
    <n v="0.65300000000000002"/>
    <n v="0.1"/>
    <n v="2"/>
    <n v="1.1837672281776417"/>
    <n v="1.1662552812206535"/>
    <n v="0.68416949639812985"/>
    <s v="NA"/>
    <s v="NA"/>
    <s v="NA"/>
    <s v="NA"/>
    <s v="NA"/>
    <s v="NA"/>
    <n v="3404"/>
    <n v="3404"/>
    <s v="NA"/>
    <s v="NA"/>
    <s v="NA"/>
    <n v="0.13"/>
    <s v="NA"/>
    <s v="NA"/>
    <s v="NA"/>
    <s v="NA"/>
    <s v="NA"/>
    <s v="NA"/>
    <n v="1"/>
    <n v="1"/>
    <n v="1"/>
    <m/>
    <m/>
    <m/>
    <m/>
    <m/>
    <m/>
    <m/>
    <m/>
    <m/>
    <m/>
    <n v="2.0285334036980945E-2"/>
    <n v="2.0288117160492912E-2"/>
    <n v="2.9385831048460269E-4"/>
    <n v="2.9403116730373417E-4"/>
    <s v="NA"/>
    <n v="3402"/>
    <s v="NA"/>
  </r>
  <r>
    <x v="0"/>
    <n v="20"/>
    <n v="1049"/>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1.0780000000000001"/>
    <s v="increase"/>
    <n v="0.55600000000000005"/>
    <n v="0.1"/>
    <n v="1"/>
    <n v="1.9388489208633093"/>
    <n v="1.938796077398218"/>
    <n v="0.7461153153527682"/>
    <s v="NA"/>
    <s v="NA"/>
    <s v="NA"/>
    <s v="NA"/>
    <s v="NA"/>
    <s v="NA"/>
    <n v="3404"/>
    <n v="3404"/>
    <s v="NA"/>
    <s v="NA"/>
    <s v="NA"/>
    <n v="0.13"/>
    <s v="NA"/>
    <s v="NA"/>
    <s v="NA"/>
    <s v="NA"/>
    <s v="NA"/>
    <s v="NA"/>
    <n v="1"/>
    <n v="1"/>
    <n v="1"/>
    <m/>
    <m/>
    <m/>
    <m/>
    <m/>
    <m/>
    <m/>
    <m/>
    <m/>
    <m/>
    <n v="3.3213108476623197E-2"/>
    <n v="3.3225329143150836E-2"/>
    <n v="2.9385800216136389E-4"/>
    <n v="2.9403116730373417E-4"/>
    <s v="NA"/>
    <n v="3402"/>
    <s v="NA"/>
  </r>
  <r>
    <x v="0"/>
    <n v="20"/>
    <n v="1052"/>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LPG"/>
    <x v="0"/>
    <s v="water heater usage (electricity, LPG, solar, others)"/>
    <s v="dummy (0/1)"/>
    <n v="1.107"/>
    <s v="increase"/>
    <n v="0.83799999999999997"/>
    <n v="0.1"/>
    <n v="2"/>
    <n v="1.3210023866348448"/>
    <n v="2.0252689602207656"/>
    <n v="0.75156939576401494"/>
    <s v="NA"/>
    <s v="NA"/>
    <s v="NA"/>
    <s v="NA"/>
    <s v="NA"/>
    <s v="NA"/>
    <n v="3404"/>
    <n v="3404"/>
    <s v="NA"/>
    <s v="NA"/>
    <s v="NA"/>
    <n v="0.13"/>
    <s v="NA"/>
    <s v="NA"/>
    <s v="NA"/>
    <s v="NA"/>
    <s v="NA"/>
    <s v="NA"/>
    <n v="1"/>
    <n v="1"/>
    <n v="1"/>
    <m/>
    <m/>
    <m/>
    <m/>
    <m/>
    <m/>
    <m/>
    <m/>
    <m/>
    <m/>
    <n v="2.263588794559478E-2"/>
    <n v="2.2639755219163907E-2"/>
    <n v="2.9385828306898831E-4"/>
    <n v="2.9403116730373417E-4"/>
    <s v="NA"/>
    <n v="3402"/>
    <s v="NA"/>
  </r>
  <r>
    <x v="0"/>
    <n v="20"/>
    <n v="1047"/>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651"/>
    <s v="decrease"/>
    <n v="0.58599999999999997"/>
    <n v="0.01"/>
    <n v="1"/>
    <n v="2.81740614334471"/>
    <n v="4.2121894113649896"/>
    <n v="0.83902615748152587"/>
    <s v="NA"/>
    <s v="NA"/>
    <s v="NA"/>
    <s v="NA"/>
    <n v="36"/>
    <s v="NA"/>
    <n v="3404"/>
    <n v="3404"/>
    <s v="NA"/>
    <s v="NA"/>
    <s v="NA"/>
    <n v="0.13"/>
    <s v="NA"/>
    <s v="NA"/>
    <s v="NA"/>
    <s v="NA"/>
    <s v="NA"/>
    <s v="NA"/>
    <n v="1"/>
    <n v="1"/>
    <n v="1"/>
    <m/>
    <m/>
    <m/>
    <m/>
    <m/>
    <m/>
    <m/>
    <m/>
    <m/>
    <m/>
    <n v="4.823351432140318E-2"/>
    <n v="4.8270971259459908E-2"/>
    <n v="2.9385676482401629E-4"/>
    <n v="2.9403116730373417E-4"/>
    <s v="NA"/>
    <n v="3402"/>
    <s v="NA"/>
  </r>
  <r>
    <x v="0"/>
    <n v="20"/>
    <n v="1050"/>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881"/>
    <s v="decrease"/>
    <n v="1.145"/>
    <n v="0.1"/>
    <n v="2"/>
    <n v="1.6427947598253274"/>
    <n v="5.5600616448982949"/>
    <n v="0.86772594629901956"/>
    <s v="NA"/>
    <s v="NA"/>
    <s v="NA"/>
    <s v="NA"/>
    <s v="NA"/>
    <s v="NA"/>
    <n v="3404"/>
    <n v="3404"/>
    <s v="NA"/>
    <s v="NA"/>
    <s v="NA"/>
    <n v="0.13"/>
    <s v="NA"/>
    <s v="NA"/>
    <s v="NA"/>
    <s v="NA"/>
    <s v="NA"/>
    <s v="NA"/>
    <n v="1"/>
    <n v="1"/>
    <n v="1"/>
    <m/>
    <m/>
    <m/>
    <m/>
    <m/>
    <m/>
    <m/>
    <m/>
    <m/>
    <m/>
    <n v="2.8145984341816754E-2"/>
    <n v="2.8153420259375738E-2"/>
    <n v="2.9385817565716929E-4"/>
    <n v="2.9403116730373417E-4"/>
    <s v="NA"/>
    <n v="3402"/>
    <s v="NA"/>
  </r>
  <r>
    <x v="0"/>
    <m/>
    <s v="NA"/>
    <s v="NA"/>
    <s v="Mahlia, Masjuki, Choudhury, Ghazali"/>
    <n v="2002"/>
    <s v="Economical and environmental impact of room air conditioners energy labels in Malaysia"/>
    <s v="The usage of residential electrical appliances for the last two decades has increased rapidly in Malaysia_x000a_together with the increasing income per capita. Like other developing countries with hot and humid climates,_x000a_Malaysia has been experiencing dramatic growth in the number of use of air conditioners, and the_x000a_usage will be higher in the future. In order to reduce energy consumption in the residential sector, the_x000a_Department of Electricity and Gas Supply considers implementing energy labels for room air conditioners_x000a_sometime in the coming year. This study attempts to calculate the economical and environmental impact of_x000a_implementing this program in Malaysia. The study found the savings has exceeded the investment cost and_x000a_the program has reduced the emissions caused by burning fossil fuel."/>
    <n v="1"/>
    <m/>
    <x v="9"/>
    <m/>
    <x v="6"/>
    <x v="4"/>
    <x v="24"/>
    <m/>
    <m/>
    <m/>
    <m/>
    <m/>
    <m/>
    <m/>
    <m/>
    <m/>
    <m/>
    <m/>
    <m/>
    <m/>
    <m/>
    <m/>
    <m/>
    <m/>
    <m/>
    <m/>
    <m/>
    <m/>
    <m/>
    <m/>
    <m/>
    <m/>
    <m/>
    <m/>
    <m/>
    <x v="3"/>
    <m/>
    <m/>
    <m/>
    <m/>
    <m/>
    <m/>
    <m/>
    <m/>
    <m/>
    <m/>
    <m/>
    <m/>
    <m/>
    <m/>
    <m/>
    <m/>
    <m/>
    <m/>
    <m/>
    <m/>
    <m/>
    <m/>
    <m/>
    <m/>
    <m/>
    <m/>
    <m/>
    <m/>
    <m/>
    <m/>
    <m/>
    <m/>
    <m/>
    <m/>
    <m/>
    <m/>
    <m/>
    <m/>
    <m/>
    <m/>
    <m/>
    <m/>
    <m/>
    <m/>
    <m/>
    <m/>
    <m/>
    <m/>
  </r>
  <r>
    <x v="2"/>
    <m/>
    <n v="1255"/>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544"/>
    <s v="NA"/>
    <s v="NA"/>
    <n v="544"/>
    <s v="NA"/>
    <n v="544"/>
    <s v="NA"/>
    <n v="7.96"/>
    <s v="NA"/>
    <s v="NA"/>
    <s v="NA"/>
    <s v="NA"/>
    <s v="NA"/>
    <s v="NA"/>
    <s v="NA"/>
    <s v="NA"/>
    <s v="NA"/>
    <n v="0"/>
    <n v="0"/>
    <n v="0"/>
    <m/>
    <m/>
    <m/>
    <m/>
    <m/>
    <m/>
    <m/>
    <m/>
    <m/>
    <m/>
    <m/>
    <m/>
    <m/>
    <m/>
    <m/>
    <m/>
    <m/>
  </r>
  <r>
    <x v="2"/>
    <m/>
    <n v="1256"/>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478"/>
    <s v="NA"/>
    <s v="NA"/>
    <n v="478"/>
    <s v="NA"/>
    <n v="478"/>
    <s v="NA"/>
    <n v="46.36"/>
    <s v="NA"/>
    <s v="NA"/>
    <s v="NA"/>
    <s v="NA"/>
    <s v="NA"/>
    <s v="NA"/>
    <s v="NA"/>
    <s v="NA"/>
    <s v="NA"/>
    <n v="0"/>
    <n v="0"/>
    <n v="0"/>
    <m/>
    <m/>
    <m/>
    <m/>
    <m/>
    <m/>
    <m/>
    <m/>
    <m/>
    <m/>
    <m/>
    <m/>
    <m/>
    <m/>
    <m/>
    <m/>
    <m/>
  </r>
  <r>
    <x v="2"/>
    <m/>
    <n v="1257"/>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1081"/>
    <s v="NA"/>
    <s v="NA"/>
    <n v="1081"/>
    <s v="NA"/>
    <n v="1081"/>
    <s v="NA"/>
    <n v="48.18"/>
    <s v="NA"/>
    <s v="NA"/>
    <s v="NA"/>
    <s v="NA"/>
    <s v="NA"/>
    <s v="NA"/>
    <s v="NA"/>
    <s v="NA"/>
    <s v="NA"/>
    <n v="0"/>
    <n v="0"/>
    <n v="0"/>
    <m/>
    <m/>
    <m/>
    <m/>
    <m/>
    <m/>
    <m/>
    <m/>
    <m/>
    <m/>
    <m/>
    <m/>
    <m/>
    <m/>
    <m/>
    <m/>
    <m/>
  </r>
  <r>
    <x v="4"/>
    <m/>
    <s v="NA"/>
    <s v="NA"/>
    <s v="Mills, Schleich"/>
    <n v="2010"/>
    <s v="What’s Driving Energy Efficient Appliance Label Awareness and Purchase Propensity?"/>
    <s v="The EU appliance energy consumption labeling scheme is a key component of efforts to increase the diffusion of energy-efficient household appliances. In this paper, the determinants of consumer knowledge of the energy label for house-hold appliances and the choice of class-A energy-efficient appliances are jointly estimated using data from a large survey of more than 20,000 German house-holds. The results for five major appliances suggest that lack of knowledge of the energy label can generate considerable bias in both estimates of rates of uptake of class-A appliances and in estimates of the underlying determinants of choice of class-A appliance. Simulations of the choice to purchase a class-A appliance, given knowledge of the labeling framework, reveal that residence characteristics and, in several cases, regional electricity prices strongly increase the propensity to purchase a class-A appliance, but socio-economic characteris-tics have surprisingly little impact on appliance energy-class choice."/>
    <n v="2"/>
    <n v="2002"/>
    <x v="1"/>
    <m/>
    <x v="6"/>
    <x v="4"/>
    <x v="5"/>
    <m/>
    <m/>
    <m/>
    <m/>
    <m/>
    <m/>
    <m/>
    <m/>
    <m/>
    <m/>
    <m/>
    <m/>
    <m/>
    <m/>
    <m/>
    <m/>
    <m/>
    <m/>
    <m/>
    <m/>
    <m/>
    <m/>
    <m/>
    <m/>
    <m/>
    <m/>
    <m/>
    <m/>
    <x v="3"/>
    <m/>
    <m/>
    <m/>
    <m/>
    <m/>
    <m/>
    <m/>
    <m/>
    <m/>
    <m/>
    <m/>
    <m/>
    <m/>
    <m/>
    <m/>
    <m/>
    <m/>
    <m/>
    <m/>
    <m/>
    <m/>
    <m/>
    <m/>
    <m/>
    <m/>
    <m/>
    <s v="NA"/>
    <m/>
    <m/>
    <m/>
    <m/>
    <m/>
    <m/>
    <m/>
    <m/>
    <m/>
    <m/>
    <m/>
    <m/>
    <m/>
    <m/>
    <m/>
    <m/>
    <m/>
    <m/>
    <m/>
    <m/>
    <m/>
  </r>
  <r>
    <x v="0"/>
    <m/>
    <n v="1213"/>
    <n v="146"/>
    <s v="Min, Azevedo, Michalek, de Bruin"/>
    <n v="2014"/>
    <s v="Labeling energy cost on light bulbs lowers implicit discount rates"/>
    <s v="Lighting accounts for nearly 20% of overall U.S. electricity consumption and 18% of U.S. residential electricity_x000a_consumption. A transition to alternative energy-efficient technologies could reduce this energy consumption_x000a_considerably. To quantify the influence of factors that drive consumer choices for light bulbs, we conducted a_x000a_choice-based conjoint field experiment with 183 participants. We estimated discrete choice models from the_x000a_data, and found that politically liberal consumers have a stronger preference for compact fluorescent lighting_x000a_technology and for low energy consumption. Greater willingness to pay for lower energy consumption and longer_x000a_lifewas observed in conditions where estimated operating cost information was provided. Providing estimated_x000a_annual cost information to consumers reduced their implicit discount rate by a factor of five, lowering barriers_x000a_to adoption of energy efficient alternativeswith higher up-front costs; however, evenwith cost information provided,_x000a_consumers continued to use implicit discount rates of around 100%, which is larger than that experienced_x000a_for other energy technologies."/>
    <n v="2"/>
    <n v="2014"/>
    <x v="0"/>
    <n v="46"/>
    <x v="0"/>
    <x v="2"/>
    <x v="1"/>
    <s v="stated preference"/>
    <s v="lab"/>
    <s v="individuals"/>
    <n v="1"/>
    <s v="opt_out"/>
    <n v="1"/>
    <s v="probably no"/>
    <s v="probably yes"/>
    <s v="only report IDR without WTP - available upon request"/>
    <n v="0"/>
    <n v="1"/>
    <n v="0"/>
    <n v="0"/>
    <n v="0"/>
    <n v="0"/>
    <n v="0"/>
    <n v="0"/>
    <s v="operating cost information (baseline - no such information)"/>
    <n v="0"/>
    <n v="0"/>
    <n v="0"/>
    <n v="0"/>
    <n v="0"/>
    <n v="1"/>
    <n v="0"/>
    <n v="0"/>
    <n v="0"/>
    <s v="NA"/>
    <x v="2"/>
    <s v="WTP for CFL"/>
    <s v="log scale"/>
    <m/>
    <m/>
    <m/>
    <m/>
    <m/>
    <m/>
    <m/>
    <m/>
    <s v="NA"/>
    <s v="NA"/>
    <s v="NA"/>
    <s v="NA"/>
    <s v="NA"/>
    <s v="NA"/>
    <s v="NA"/>
    <n v="6652"/>
    <s v="NA"/>
    <s v="NA"/>
    <s v="NA"/>
    <s v="NA"/>
    <s v="NA"/>
    <s v="NA"/>
    <s v="NA"/>
    <s v="NA"/>
    <s v="NA"/>
    <s v="NA"/>
    <n v="0"/>
    <n v="1"/>
    <n v="1"/>
    <m/>
    <m/>
    <m/>
    <m/>
    <m/>
    <m/>
    <m/>
    <m/>
    <m/>
    <m/>
    <e v="#VALUE!"/>
    <e v="#VALUE!"/>
    <e v="#VALUE!"/>
    <e v="#VALUE!"/>
    <m/>
    <m/>
    <m/>
  </r>
  <r>
    <x v="0"/>
    <m/>
    <n v="1169"/>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purchase of energy efficient air-conditioner"/>
    <x v="1"/>
    <s v="the logarithmic value of the electricity_x000a_consumption (kWh)"/>
    <s v="log scale"/>
    <n v="3.8109999999999999"/>
    <s v="decrease"/>
    <n v="2.3719999999999999"/>
    <n v="0.1"/>
    <n v="2"/>
    <n v="1.6066610455311974"/>
    <n v="44.19561188793142"/>
    <m/>
    <s v="NA"/>
    <s v="NA"/>
    <s v="NA"/>
    <s v="NA"/>
    <s v="NA"/>
    <s v="NA"/>
    <n v="310"/>
    <n v="310"/>
    <s v="NA"/>
    <s v="NA"/>
    <s v="NA"/>
    <s v="NA"/>
    <s v="NA"/>
    <s v="NA"/>
    <s v="NA"/>
    <s v="NA"/>
    <s v="NA"/>
    <s v="NA"/>
    <n v="1"/>
    <n v="1"/>
    <n v="1"/>
    <m/>
    <m/>
    <m/>
    <m/>
    <m/>
    <m/>
    <m/>
    <m/>
    <m/>
    <m/>
    <n v="9.0874644742587773E-2"/>
    <n v="9.112604528874467E-2"/>
    <n v="3.2360227971281281E-3"/>
    <n v="3.2573289902280132E-3"/>
    <m/>
    <m/>
    <m/>
  </r>
  <r>
    <x v="0"/>
    <m/>
    <n v="1170"/>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replacement"/>
    <x v="1"/>
    <s v="the logarithmic value of the electricity_x000a_consumption (kWh)"/>
    <s v="log scale"/>
    <n v="1.9039999999999999"/>
    <s v="decrease"/>
    <n v="2.82"/>
    <n v="0.1"/>
    <n v="2"/>
    <n v="0.67517730496453898"/>
    <n v="5.7126915785915049"/>
    <m/>
    <s v="NA"/>
    <s v="NA"/>
    <s v="NA"/>
    <s v="NA"/>
    <s v="NA"/>
    <s v="NA"/>
    <n v="310"/>
    <n v="310"/>
    <s v="NA"/>
    <s v="NA"/>
    <s v="NA"/>
    <s v="NA"/>
    <s v="NA"/>
    <s v="NA"/>
    <s v="NA"/>
    <s v="NA"/>
    <s v="NA"/>
    <s v="NA"/>
    <n v="1"/>
    <n v="1"/>
    <n v="1"/>
    <m/>
    <m/>
    <m/>
    <m/>
    <m/>
    <m/>
    <m/>
    <m/>
    <m/>
    <m/>
    <n v="3.8319329539764628E-2"/>
    <n v="3.8338101745567565E-2"/>
    <n v="3.2362389632958908E-3"/>
    <n v="3.2573289902280132E-3"/>
    <m/>
    <m/>
    <m/>
  </r>
  <r>
    <x v="0"/>
    <m/>
    <n v="1171"/>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additional purchase"/>
    <x v="1"/>
    <s v="the logarithmic value of the electricity_x000a_consumption (kWh)"/>
    <s v="log scale"/>
    <n v="6.681"/>
    <s v="decrease"/>
    <n v="3.4260000000000002"/>
    <n v="0.1"/>
    <n v="1"/>
    <n v="1.9500875656742556"/>
    <n v="796.11582942023051"/>
    <m/>
    <s v="NA"/>
    <s v="NA"/>
    <s v="NA"/>
    <s v="NA"/>
    <s v="NA"/>
    <s v="NA"/>
    <n v="310"/>
    <n v="310"/>
    <s v="NA"/>
    <s v="NA"/>
    <s v="NA"/>
    <s v="NA"/>
    <s v="NA"/>
    <s v="NA"/>
    <s v="NA"/>
    <s v="NA"/>
    <s v="NA"/>
    <s v="NA"/>
    <n v="1"/>
    <n v="1"/>
    <n v="1"/>
    <m/>
    <m/>
    <m/>
    <m/>
    <m/>
    <m/>
    <m/>
    <m/>
    <m/>
    <m/>
    <n v="0.11008437401907406"/>
    <n v="0.11053232404190938"/>
    <n v="3.235762897306693E-3"/>
    <n v="3.2573289902280132E-3"/>
    <m/>
    <m/>
    <m/>
  </r>
  <r>
    <x v="3"/>
    <n v="21"/>
    <n v="1270"/>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09"/>
    <s v="increase"/>
    <n v="0.12"/>
    <n v="0.05"/>
    <n v="2"/>
    <n v="1.6474057119344734"/>
    <n v="9.4174283705210415E-2"/>
    <n v="0.52248482479180014"/>
    <s v="NA"/>
    <s v="NA"/>
    <s v="NA"/>
    <s v="NA"/>
    <s v="NA"/>
    <s v="NA"/>
    <n v="600"/>
    <n v="600"/>
    <s v="NA"/>
    <s v="NA"/>
    <s v="NA"/>
    <s v="NA"/>
    <s v="NA"/>
    <s v="NA"/>
    <s v="NA"/>
    <s v="NA"/>
    <s v="NA"/>
    <s v="NA"/>
    <n v="0"/>
    <n v="1"/>
    <n v="1"/>
    <m/>
    <m/>
    <m/>
    <m/>
    <m/>
    <m/>
    <m/>
    <m/>
    <m/>
    <m/>
    <n v="6.7103465160314887E-2"/>
    <n v="6.7204457661064573E-2"/>
    <n v="1.6694150280093312E-3"/>
    <n v="1.6750418760469012E-3"/>
    <s v="NA"/>
    <n v="598"/>
    <s v="NA"/>
  </r>
  <r>
    <x v="3"/>
    <n v="21"/>
    <n v="1271"/>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1"/>
    <s v="increase"/>
    <n v="0.11"/>
    <n v="0.05"/>
    <n v="2"/>
    <n v="1.6474057119344734"/>
    <n v="0.10517091807564771"/>
    <n v="0.52497918747894001"/>
    <s v="NA"/>
    <s v="NA"/>
    <s v="NA"/>
    <s v="NA"/>
    <s v="NA"/>
    <s v="NA"/>
    <n v="600"/>
    <n v="600"/>
    <s v="NA"/>
    <s v="NA"/>
    <s v="NA"/>
    <s v="NA"/>
    <s v="NA"/>
    <s v="NA"/>
    <s v="NA"/>
    <s v="NA"/>
    <s v="NA"/>
    <s v="NA"/>
    <n v="0"/>
    <n v="1"/>
    <n v="1"/>
    <m/>
    <m/>
    <m/>
    <m/>
    <m/>
    <m/>
    <m/>
    <m/>
    <m/>
    <m/>
    <n v="6.7103465160314887E-2"/>
    <n v="6.7204457661064573E-2"/>
    <n v="1.6694150280093312E-3"/>
    <n v="1.6750418760469012E-3"/>
    <s v="NA"/>
    <n v="598"/>
    <s v="NA"/>
  </r>
  <r>
    <x v="3"/>
    <n v="21"/>
    <n v="125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1"/>
    <s v="increase"/>
    <n v="0.03"/>
    <n v="0.05"/>
    <n v="1"/>
    <n v="1.9639388980555066"/>
    <n v="0.23367805995674318"/>
    <n v="0.5523079095743253"/>
    <s v="NA"/>
    <s v="NA"/>
    <s v="NA"/>
    <s v="NA"/>
    <s v="NA"/>
    <s v="NA"/>
    <n v="600"/>
    <n v="600"/>
    <s v="NA"/>
    <s v="NA"/>
    <s v="NA"/>
    <s v="NA"/>
    <s v="NA"/>
    <s v="NA"/>
    <s v="NA"/>
    <s v="NA"/>
    <s v="NA"/>
    <s v="NA"/>
    <n v="0"/>
    <n v="1"/>
    <n v="1"/>
    <m/>
    <m/>
    <m/>
    <m/>
    <m/>
    <m/>
    <m/>
    <m/>
    <m/>
    <m/>
    <n v="7.9920998150068992E-2"/>
    <n v="8.0091814824645752E-2"/>
    <n v="1.6693803867099848E-3"/>
    <n v="1.6750418760469012E-3"/>
    <s v="NA"/>
    <n v="598"/>
    <s v="NA"/>
  </r>
  <r>
    <x v="3"/>
    <n v="21"/>
    <n v="125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7"/>
    <s v="increase"/>
    <n v="0.05"/>
    <n v="0.05"/>
    <n v="1"/>
    <n v="1.9639388980555066"/>
    <n v="0.3099644507332473"/>
    <n v="0.56709290496545439"/>
    <s v="NA"/>
    <s v="NA"/>
    <s v="NA"/>
    <s v="NA"/>
    <s v="NA"/>
    <s v="NA"/>
    <n v="600"/>
    <n v="600"/>
    <s v="NA"/>
    <s v="NA"/>
    <s v="NA"/>
    <s v="NA"/>
    <s v="NA"/>
    <s v="NA"/>
    <s v="NA"/>
    <s v="NA"/>
    <s v="NA"/>
    <s v="NA"/>
    <n v="0"/>
    <n v="1"/>
    <n v="1"/>
    <m/>
    <m/>
    <m/>
    <m/>
    <m/>
    <m/>
    <m/>
    <m/>
    <m/>
    <m/>
    <n v="7.9920998150068992E-2"/>
    <n v="8.0091814824645752E-2"/>
    <n v="1.6693803867099848E-3"/>
    <n v="1.6750418760469012E-3"/>
    <s v="NA"/>
    <n v="598"/>
    <s v="NA"/>
  </r>
  <r>
    <x v="3"/>
    <n v="21"/>
    <n v="127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5"/>
    <s v="increase"/>
    <n v="0.11"/>
    <n v="0.05"/>
    <n v="1"/>
    <n v="1.9639388980555066"/>
    <n v="1.3396468519259908"/>
    <n v="0.70056714247397289"/>
    <s v="NA"/>
    <s v="NA"/>
    <s v="NA"/>
    <s v="NA"/>
    <s v="NA"/>
    <s v="NA"/>
    <n v="600"/>
    <n v="600"/>
    <s v="NA"/>
    <s v="NA"/>
    <s v="NA"/>
    <s v="NA"/>
    <s v="NA"/>
    <s v="NA"/>
    <s v="NA"/>
    <s v="NA"/>
    <s v="NA"/>
    <s v="NA"/>
    <n v="0"/>
    <n v="1"/>
    <n v="1"/>
    <m/>
    <m/>
    <m/>
    <m/>
    <m/>
    <m/>
    <m/>
    <m/>
    <m/>
    <m/>
    <n v="7.9920998150068992E-2"/>
    <n v="8.0091814824645752E-2"/>
    <n v="1.6693803867099848E-3"/>
    <n v="1.6750418760469012E-3"/>
    <s v="NA"/>
    <n v="598"/>
    <s v="NA"/>
  </r>
  <r>
    <x v="3"/>
    <n v="21"/>
    <n v="127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7"/>
    <s v="increase"/>
    <n v="0.1"/>
    <n v="0.05"/>
    <n v="1"/>
    <n v="1.9639388980555066"/>
    <n v="1.3869108535242765"/>
    <n v="0.70474569799809106"/>
    <s v="NA"/>
    <s v="NA"/>
    <s v="NA"/>
    <s v="NA"/>
    <s v="NA"/>
    <s v="NA"/>
    <n v="600"/>
    <n v="600"/>
    <s v="NA"/>
    <s v="NA"/>
    <s v="NA"/>
    <s v="NA"/>
    <s v="NA"/>
    <s v="NA"/>
    <s v="NA"/>
    <s v="NA"/>
    <s v="NA"/>
    <s v="NA"/>
    <n v="0"/>
    <n v="1"/>
    <n v="1"/>
    <m/>
    <m/>
    <m/>
    <m/>
    <m/>
    <m/>
    <m/>
    <m/>
    <m/>
    <m/>
    <n v="7.9920998150068992E-2"/>
    <n v="8.0091814824645752E-2"/>
    <n v="1.6693803867099848E-3"/>
    <n v="1.6750418760469012E-3"/>
    <s v="NA"/>
    <n v="598"/>
    <s v="NA"/>
  </r>
  <r>
    <x v="2"/>
    <n v="22"/>
    <n v="127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0000000000000001E-3"/>
    <s v="increase"/>
    <s v="NA"/>
    <n v="0.1"/>
    <n v="2"/>
    <n v="1.6458012044463048"/>
    <n v="7.0245572668485856E-3"/>
    <n v="0.50174999285420174"/>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80"/>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1.2999999999999999E-2"/>
    <s v="decrease"/>
    <s v="NA"/>
    <n v="0.1"/>
    <n v="2"/>
    <n v="1.6458012044463048"/>
    <n v="1.3084867359809182E-2"/>
    <n v="0.5032499542299402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1.4E-2"/>
    <s v="decrease"/>
    <s v="NA"/>
    <n v="0.1"/>
    <n v="2"/>
    <n v="1.6458012044463048"/>
    <n v="1.4098458938492264E-2"/>
    <n v="0.50349994283445376"/>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0.04"/>
    <s v="increase"/>
    <s v="NA"/>
    <n v="0.1"/>
    <n v="1"/>
    <n v="1.6458012044463048"/>
    <n v="4.0810774192388211E-2"/>
    <n v="0.5099986668799655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4.1000000000000002E-2"/>
    <s v="decrease"/>
    <s v="NA"/>
    <n v="0.1"/>
    <n v="1"/>
    <n v="1.6458012044463048"/>
    <n v="4.1852105545479468E-2"/>
    <n v="0.51024856438715938"/>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1"/>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5.8999999999999997E-2"/>
    <s v="increase"/>
    <s v="NA"/>
    <n v="0.1"/>
    <n v="2"/>
    <n v="1.6458012044463048"/>
    <n v="6.0775240740158942E-2"/>
    <n v="0.51474572275973451"/>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4000000000000001E-2"/>
    <s v="decrease"/>
    <s v="NA"/>
    <n v="0.05"/>
    <n v="1"/>
    <n v="1.9614394515458273"/>
    <n v="6.6092398761505189E-2"/>
    <n v="0.5159945409027020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7000000000000004E-2"/>
    <s v="decrease"/>
    <s v="NA"/>
    <n v="0.05"/>
    <n v="1"/>
    <n v="1.9614394515458273"/>
    <n v="6.9295478174600245E-2"/>
    <n v="0.5167437369156502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9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2999999999999995E-2"/>
    <s v="de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7.2999999999999995E-2"/>
    <s v="in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9"/>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9.9000000000000005E-2"/>
    <s v="increase"/>
    <s v="NA"/>
    <n v="0.05"/>
    <n v="1"/>
    <n v="1.9614394515458273"/>
    <n v="0.10406629955888191"/>
    <n v="0.5247298052301629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9"/>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0.161"/>
    <s v="decrease"/>
    <s v="NA"/>
    <n v="0.01"/>
    <n v="1"/>
    <n v="2.5788883732398911"/>
    <n v="0.17468496881387163"/>
    <n v="0.54016328142212455"/>
    <s v="NA"/>
    <s v="NA"/>
    <s v="AN"/>
    <s v="NA"/>
    <s v="NA"/>
    <s v="NA"/>
    <n v="1611"/>
    <n v="1611"/>
    <s v="NA"/>
    <s v="NA"/>
    <s v="NA"/>
    <s v="NA"/>
    <s v="NA"/>
    <s v="NA"/>
    <s v="NA"/>
    <s v="NA"/>
    <s v="NA"/>
    <s v="NA"/>
    <n v="0"/>
    <n v="1"/>
    <n v="1"/>
    <m/>
    <m/>
    <m/>
    <m/>
    <m/>
    <m/>
    <m/>
    <m/>
    <m/>
    <m/>
    <n v="6.411950690189884E-2"/>
    <n v="6.4207596049565968E-2"/>
    <n v="6.2110745592692065E-4"/>
    <n v="6.2189054726368158E-4"/>
    <s v="NA"/>
    <n v="1609"/>
    <s v="NA"/>
  </r>
  <r>
    <x v="0"/>
    <m/>
    <n v="1180"/>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information (baseline - current EnergyGuide label)"/>
    <n v="0"/>
    <n v="0"/>
    <n v="0"/>
    <n v="0"/>
    <n v="0"/>
    <n v="0"/>
    <n v="1"/>
    <n v="0"/>
    <n v="0"/>
    <s v="individual discount rate"/>
    <x v="2"/>
    <s v="WTP for reduced present value operating cost"/>
    <s v="NA"/>
    <n v="0.7"/>
    <s v="increase"/>
    <n v="9.8591549295774641E-2"/>
    <n v="0.1"/>
    <n v="1"/>
    <n v="7.1"/>
    <s v="NA"/>
    <m/>
    <s v="NA"/>
    <s v="NA"/>
    <s v="NA"/>
    <s v="NA"/>
    <s v="NA"/>
    <s v="NA"/>
    <n v="1184"/>
    <n v="1184"/>
    <s v="NA"/>
    <s v="NA"/>
    <s v="NA"/>
    <s v="NA"/>
    <s v="NA"/>
    <n v="1"/>
    <n v="288"/>
    <n v="0"/>
    <s v="NA"/>
    <s v="NA"/>
    <n v="1"/>
    <n v="0"/>
    <n v="1"/>
    <m/>
    <m/>
    <m/>
    <m/>
    <m/>
    <m/>
    <m/>
    <m/>
    <m/>
    <m/>
    <n v="0.2020824660717096"/>
    <n v="0.20490273447739515"/>
    <n v="8.4381846898462422E-4"/>
    <n v="8.4674005080440302E-4"/>
    <m/>
    <m/>
    <m/>
  </r>
  <r>
    <x v="0"/>
    <m/>
    <n v="1181"/>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relative to range (baseline - current EnergyGuide label)"/>
    <n v="0"/>
    <n v="0"/>
    <n v="0"/>
    <n v="0"/>
    <n v="0"/>
    <n v="0"/>
    <n v="1"/>
    <n v="0"/>
    <n v="0"/>
    <s v="individual discount rate"/>
    <x v="2"/>
    <s v="WTP for reduced present value operating cost"/>
    <s v="NA"/>
    <n v="0.111"/>
    <s v="increase"/>
    <n v="0.15416666666666667"/>
    <n v="0.1"/>
    <n v="2"/>
    <n v="0.72"/>
    <s v="NA"/>
    <m/>
    <s v="NA"/>
    <s v="NA"/>
    <s v="NA"/>
    <s v="NA"/>
    <s v="NA"/>
    <s v="NA"/>
    <n v="1184"/>
    <n v="1184"/>
    <s v="NA"/>
    <s v="NA"/>
    <s v="NA"/>
    <s v="NA"/>
    <s v="NA"/>
    <n v="1"/>
    <n v="288"/>
    <n v="0"/>
    <s v="NA"/>
    <s v="NA"/>
    <n v="1"/>
    <n v="0"/>
    <n v="1"/>
    <m/>
    <m/>
    <m/>
    <m/>
    <m/>
    <m/>
    <m/>
    <m/>
    <m/>
    <m/>
    <n v="2.0919995692237577E-2"/>
    <n v="2.0923048346211292E-2"/>
    <n v="8.453083756162019E-4"/>
    <n v="8.4674005080440302E-4"/>
    <m/>
    <m/>
    <m/>
  </r>
  <r>
    <x v="0"/>
    <m/>
    <n v="1182"/>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Guide image"/>
    <n v="0"/>
    <n v="0"/>
    <n v="0"/>
    <n v="0"/>
    <n v="0"/>
    <n v="0"/>
    <n v="1"/>
    <n v="0"/>
    <n v="0"/>
    <s v="individual discount rate"/>
    <x v="2"/>
    <s v="WTP for reduced present value operating cost"/>
    <s v="NA"/>
    <n v="0.13200000000000001"/>
    <s v="decrease"/>
    <n v="0.11478260869565218"/>
    <n v="0.1"/>
    <n v="2"/>
    <n v="1.1499999999999999"/>
    <s v="NA"/>
    <m/>
    <s v="NA"/>
    <s v="NA"/>
    <s v="NA"/>
    <s v="NA"/>
    <s v="NA"/>
    <s v="NA"/>
    <n v="1184"/>
    <n v="1184"/>
    <s v="NA"/>
    <s v="NA"/>
    <s v="NA"/>
    <s v="NA"/>
    <s v="NA"/>
    <n v="1"/>
    <n v="288"/>
    <n v="0"/>
    <s v="NA"/>
    <s v="NA"/>
    <n v="1"/>
    <n v="0"/>
    <n v="1"/>
    <m/>
    <m/>
    <m/>
    <m/>
    <m/>
    <m/>
    <m/>
    <m/>
    <m/>
    <m/>
    <n v="3.3402546418006968E-2"/>
    <n v="3.341497748312889E-2"/>
    <n v="8.4530748376344727E-4"/>
    <n v="8.4674005080440302E-4"/>
    <m/>
    <m/>
    <m/>
  </r>
  <r>
    <x v="0"/>
    <m/>
    <n v="1183"/>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 Star logo (baseline - current EnergyGuide label)"/>
    <n v="0"/>
    <n v="0"/>
    <n v="0"/>
    <n v="0"/>
    <n v="0"/>
    <n v="0"/>
    <n v="1"/>
    <n v="0"/>
    <n v="0"/>
    <s v="individual discount rate"/>
    <x v="2"/>
    <s v="WTP for reduced present value operating cost"/>
    <s v="NA"/>
    <n v="0.152"/>
    <s v="decrease"/>
    <n v="0.14476190476190476"/>
    <n v="0.1"/>
    <n v="2"/>
    <n v="1.05"/>
    <s v="NA"/>
    <m/>
    <s v="NA"/>
    <s v="NA"/>
    <s v="NA"/>
    <s v="NA"/>
    <s v="NA"/>
    <s v="NA"/>
    <n v="1184"/>
    <n v="1184"/>
    <s v="NA"/>
    <s v="NA"/>
    <s v="NA"/>
    <s v="NA"/>
    <s v="NA"/>
    <n v="1"/>
    <n v="288"/>
    <n v="0"/>
    <s v="NA"/>
    <s v="NA"/>
    <n v="1"/>
    <n v="0"/>
    <n v="1"/>
    <m/>
    <m/>
    <m/>
    <m/>
    <m/>
    <m/>
    <m/>
    <m/>
    <m/>
    <m/>
    <n v="3.050080782390133E-2"/>
    <n v="3.0510271400002755E-2"/>
    <n v="8.453078051298751E-4"/>
    <n v="8.4674005080440302E-4"/>
    <m/>
    <m/>
    <m/>
  </r>
  <r>
    <x v="0"/>
    <m/>
    <n v="1184"/>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physical energy info (baseline - current EnergyGuide label)"/>
    <n v="0"/>
    <n v="0"/>
    <n v="0"/>
    <n v="0"/>
    <n v="0"/>
    <n v="0"/>
    <n v="1"/>
    <n v="0"/>
    <n v="0"/>
    <s v="individual discount rate"/>
    <x v="2"/>
    <s v="WTP for reduced present value operating cost"/>
    <s v="NA"/>
    <n v="0.34"/>
    <s v="increase"/>
    <n v="0.15044247787610621"/>
    <n v="0.1"/>
    <n v="1"/>
    <n v="2.2599999999999998"/>
    <s v="NA"/>
    <m/>
    <s v="NA"/>
    <s v="NA"/>
    <s v="NA"/>
    <s v="NA"/>
    <s v="NA"/>
    <s v="NA"/>
    <n v="1184"/>
    <n v="1184"/>
    <s v="NA"/>
    <s v="NA"/>
    <s v="NA"/>
    <s v="NA"/>
    <s v="NA"/>
    <n v="1"/>
    <n v="288"/>
    <n v="0"/>
    <s v="NA"/>
    <s v="NA"/>
    <n v="1"/>
    <n v="0"/>
    <n v="1"/>
    <m/>
    <m/>
    <m/>
    <m/>
    <m/>
    <m/>
    <m/>
    <m/>
    <m/>
    <m/>
    <n v="6.5538705898597463E-2"/>
    <n v="6.563278509260187E-2"/>
    <n v="8.4529285210817155E-4"/>
    <n v="8.4674005080440302E-4"/>
    <m/>
    <m/>
    <m/>
  </r>
  <r>
    <x v="0"/>
    <m/>
    <n v="1185"/>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CO2 emission info (baseline - current EnergyGuide label)"/>
    <n v="0"/>
    <n v="0"/>
    <n v="0"/>
    <n v="0"/>
    <n v="0"/>
    <n v="0"/>
    <n v="1"/>
    <n v="0"/>
    <n v="0"/>
    <s v="individual discount rate"/>
    <x v="2"/>
    <s v="WTP for reduced present value operating cost"/>
    <s v="NA"/>
    <n v="0.249"/>
    <s v="increase"/>
    <n v="0.13387096774193546"/>
    <n v="0.1"/>
    <n v="1"/>
    <n v="1.86"/>
    <s v="NA"/>
    <m/>
    <s v="NA"/>
    <s v="NA"/>
    <s v="NA"/>
    <s v="NA"/>
    <s v="NA"/>
    <s v="NA"/>
    <n v="1184"/>
    <n v="1184"/>
    <s v="NA"/>
    <s v="NA"/>
    <s v="NA"/>
    <s v="NA"/>
    <s v="NA"/>
    <n v="1"/>
    <n v="288"/>
    <n v="0"/>
    <s v="NA"/>
    <s v="NA"/>
    <n v="1"/>
    <n v="0"/>
    <n v="1"/>
    <m/>
    <m/>
    <m/>
    <m/>
    <m/>
    <m/>
    <m/>
    <m/>
    <m/>
    <m/>
    <n v="5.3976351182136464E-2"/>
    <n v="5.402886207559579E-2"/>
    <n v="8.4530133453125005E-4"/>
    <n v="8.4674005080440302E-4"/>
    <m/>
    <m/>
    <m/>
  </r>
  <r>
    <x v="0"/>
    <m/>
    <n v="1186"/>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relative grade info (baseline - current EnergyGuide label)"/>
    <n v="0"/>
    <n v="0"/>
    <n v="0"/>
    <n v="0"/>
    <n v="0"/>
    <n v="0"/>
    <n v="1"/>
    <n v="0"/>
    <n v="0"/>
    <s v="individual discount rate"/>
    <x v="2"/>
    <s v="WTP for reduced present value operating cost"/>
    <s v="NA"/>
    <n v="0.64200000000000002"/>
    <s v="increase"/>
    <n v="0.19337349397590362"/>
    <n v="0.1"/>
    <n v="1"/>
    <n v="3.32"/>
    <s v="NA"/>
    <m/>
    <s v="NA"/>
    <s v="NA"/>
    <s v="NA"/>
    <s v="NA"/>
    <s v="NA"/>
    <s v="NA"/>
    <n v="1184"/>
    <n v="1184"/>
    <s v="NA"/>
    <s v="NA"/>
    <s v="NA"/>
    <s v="NA"/>
    <s v="NA"/>
    <n v="1"/>
    <n v="288"/>
    <n v="0"/>
    <s v="NA"/>
    <s v="NA"/>
    <n v="1"/>
    <n v="0"/>
    <n v="1"/>
    <m/>
    <m/>
    <m/>
    <m/>
    <m/>
    <m/>
    <m/>
    <m/>
    <m/>
    <m/>
    <n v="9.6039537672003544E-2"/>
    <n v="9.633645915133221E-2"/>
    <n v="8.4523572980515279E-4"/>
    <n v="8.4674005080440302E-4"/>
    <m/>
    <m/>
    <m/>
  </r>
  <r>
    <x v="3"/>
    <n v="23"/>
    <n v="1219"/>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4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0"/>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6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1"/>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000000000000001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2"/>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3"/>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4"/>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5"/>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6"/>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5.9999999999999995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7"/>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8"/>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2E-3"/>
    <e v="#VALUE!"/>
    <s v="NA"/>
    <s v="NA"/>
    <s v="NA"/>
    <s v="NA"/>
    <s v="NA"/>
    <s v="NA"/>
    <n v="6445"/>
    <n v="6445"/>
    <s v="NA"/>
    <s v="NA"/>
    <n v="4000"/>
    <s v="NA"/>
    <s v="NA"/>
    <s v="NA"/>
    <s v="NA"/>
    <s v="NA"/>
    <s v="NA"/>
    <s v="NA"/>
    <n v="1"/>
    <n v="0"/>
    <n v="0"/>
    <m/>
    <m/>
    <m/>
    <m/>
    <m/>
    <m/>
    <m/>
    <m/>
    <m/>
    <m/>
    <n v="3.2078253247327888E-2"/>
    <n v="3.2089263039774128E-2"/>
    <n v="1.5518295153244398E-4"/>
    <n v="1.552312946289972E-4"/>
    <s v="NA"/>
    <n v="6444"/>
    <s v="NA"/>
  </r>
  <r>
    <x v="0"/>
    <m/>
    <s v="NA"/>
    <s v="NA"/>
    <s v="Olsthoorn, Schleich, Gassmann, Faure"/>
    <n v="2017"/>
    <s v="Free riding and rebates for residential energy efficiency upgrades: A multi-country contingent valuation experiment"/>
    <s v="The cost-effectiveness of energy technology upgrade programs critically depends on free riding. This paper assesses_x000a_ex ante the effects of free riding on the cost-effectiveness of a rebate programthat promotes the adoption_x000a_of energy-efficient heating systems, relying on contingent valuation choice experiments carried out through_x000a_identical representative surveys in eight EU Members States. The analysis distinguishes between strong and_x000a_weak free riders: strong free riders already plan to adopt a new heating system in the next five years; weak_x000a_free riders decide to purchase once propositioned with an attractive technology package (and therefore do not_x000a_require a rebate to adopt). The reservation rebates for incentivized adopters (thosewho decide to adopt because_x000a_of a rebate) differ substantially across countries. On average, they amount to approximately 40% of the heating_x000a_system's purchasing price, suggesting generally high opportunity costs for premature upgrades. The reservation_x000a_rebate andweak free-ridership varywith income, risk and time preferences, and environmental identity. At a rebate_x000a_level that corresponds to half the purchase price of the offered heating system, the estimated share of free_x000a_riders exceeded 50% for most countries, with a typically higher share of weak free riders than strong free riders._x000a_Specific rebate cost estimates (in €/tCO2) differ considerably across countries, suggesting that cooperation can_x000a_yield budgetary benefits."/>
    <n v="2"/>
    <n v="2016"/>
    <x v="1"/>
    <m/>
    <x v="6"/>
    <x v="4"/>
    <x v="5"/>
    <m/>
    <m/>
    <m/>
    <m/>
    <m/>
    <m/>
    <m/>
    <m/>
    <m/>
    <m/>
    <m/>
    <m/>
    <m/>
    <m/>
    <m/>
    <m/>
    <m/>
    <m/>
    <m/>
    <m/>
    <m/>
    <m/>
    <m/>
    <m/>
    <m/>
    <m/>
    <m/>
    <m/>
    <x v="3"/>
    <m/>
    <m/>
    <m/>
    <m/>
    <m/>
    <m/>
    <m/>
    <m/>
    <m/>
    <m/>
    <m/>
    <m/>
    <m/>
    <m/>
    <m/>
    <m/>
    <m/>
    <m/>
    <m/>
    <m/>
    <m/>
    <m/>
    <m/>
    <m/>
    <m/>
    <m/>
    <m/>
    <m/>
    <m/>
    <m/>
    <m/>
    <m/>
    <m/>
    <m/>
    <m/>
    <m/>
    <m/>
    <m/>
    <m/>
    <m/>
    <m/>
    <m/>
    <m/>
    <m/>
    <m/>
    <m/>
    <m/>
    <m/>
  </r>
  <r>
    <x v="2"/>
    <m/>
    <n v="1258"/>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25.879000000000001"/>
    <s v="increase"/>
    <n v="15.298"/>
    <n v="0.1"/>
    <n v="1"/>
    <s v="NA"/>
    <s v="NA"/>
    <m/>
    <s v="NA"/>
    <s v="NA"/>
    <s v="NA"/>
    <s v="NA"/>
    <s v="NA"/>
    <s v="NA"/>
    <n v="217"/>
    <n v="868"/>
    <s v="NA"/>
    <s v="NA"/>
    <s v="NA"/>
    <s v="NA"/>
    <s v="NA"/>
    <s v="NA"/>
    <s v="NA"/>
    <s v="NA"/>
    <s v="NA"/>
    <s v="NA"/>
    <n v="0"/>
    <n v="0"/>
    <n v="1"/>
    <m/>
    <m/>
    <m/>
    <m/>
    <m/>
    <m/>
    <m/>
    <m/>
    <m/>
    <m/>
    <e v="#VALUE!"/>
    <e v="#VALUE!"/>
    <e v="#VALUE!"/>
    <n v="4.6728971962616819E-3"/>
    <m/>
    <m/>
    <m/>
  </r>
  <r>
    <x v="2"/>
    <m/>
    <n v="1259"/>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45.747"/>
    <s v="increase"/>
    <n v="18.632000000000001"/>
    <n v="0.05"/>
    <n v="1"/>
    <s v="NA"/>
    <s v="NA"/>
    <m/>
    <s v="NA"/>
    <s v="NA"/>
    <s v="NA"/>
    <s v="NA"/>
    <s v="NA"/>
    <s v="NA"/>
    <n v="217"/>
    <n v="868"/>
    <s v="NA"/>
    <s v="NA"/>
    <s v="NA"/>
    <s v="NA"/>
    <s v="NA"/>
    <s v="NA"/>
    <s v="NA"/>
    <s v="NA"/>
    <s v="NA"/>
    <s v="NA"/>
    <n v="0"/>
    <n v="0"/>
    <n v="1"/>
    <m/>
    <m/>
    <m/>
    <m/>
    <m/>
    <m/>
    <m/>
    <m/>
    <m/>
    <m/>
    <e v="#VALUE!"/>
    <e v="#VALUE!"/>
    <e v="#VALUE!"/>
    <n v="4.6728971962616819E-3"/>
    <m/>
    <m/>
    <m/>
  </r>
  <r>
    <x v="2"/>
    <m/>
    <n v="1260"/>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33.076000000000001"/>
    <s v="increase"/>
    <n v="18.632000000000001"/>
    <n v="0.1"/>
    <n v="1"/>
    <s v="NA"/>
    <s v="NA"/>
    <m/>
    <s v="NA"/>
    <s v="NA"/>
    <s v="NA"/>
    <s v="NA"/>
    <s v="NA"/>
    <s v="NA"/>
    <n v="217"/>
    <n v="868"/>
    <s v="NA"/>
    <s v="NA"/>
    <s v="NA"/>
    <s v="NA"/>
    <s v="NA"/>
    <s v="NA"/>
    <s v="NA"/>
    <s v="NA"/>
    <s v="NA"/>
    <s v="NA"/>
    <n v="0"/>
    <n v="0"/>
    <n v="1"/>
    <m/>
    <m/>
    <m/>
    <m/>
    <m/>
    <m/>
    <m/>
    <m/>
    <m/>
    <m/>
    <e v="#VALUE!"/>
    <e v="#VALUE!"/>
    <e v="#VALUE!"/>
    <n v="4.6728971962616819E-3"/>
    <m/>
    <m/>
    <m/>
  </r>
  <r>
    <x v="0"/>
    <m/>
    <s v="NA"/>
    <s v="NA"/>
    <s v="Raynaud, Osso, Bourges, Duplessis, Adnot"/>
    <n v="2015"/>
    <s v="Evidence of an indirect rebound effect with reveresible heat pumps: having air conditioning but not using it?"/>
    <m/>
    <n v="1"/>
    <m/>
    <x v="1"/>
    <m/>
    <x v="6"/>
    <x v="4"/>
    <x v="5"/>
    <m/>
    <m/>
    <m/>
    <m/>
    <m/>
    <m/>
    <m/>
    <m/>
    <m/>
    <m/>
    <m/>
    <m/>
    <m/>
    <m/>
    <m/>
    <m/>
    <m/>
    <m/>
    <m/>
    <m/>
    <m/>
    <m/>
    <m/>
    <m/>
    <m/>
    <m/>
    <m/>
    <m/>
    <x v="3"/>
    <m/>
    <m/>
    <m/>
    <m/>
    <m/>
    <m/>
    <m/>
    <m/>
    <m/>
    <m/>
    <m/>
    <m/>
    <m/>
    <m/>
    <m/>
    <m/>
    <m/>
    <m/>
    <m/>
    <m/>
    <m/>
    <m/>
    <m/>
    <m/>
    <m/>
    <m/>
    <m/>
    <m/>
    <m/>
    <m/>
    <m/>
    <m/>
    <m/>
    <m/>
    <m/>
    <m/>
    <m/>
    <m/>
    <m/>
    <m/>
    <m/>
    <m/>
    <m/>
    <m/>
    <m/>
    <m/>
    <m/>
    <m/>
  </r>
  <r>
    <x v="0"/>
    <m/>
    <n v="1146"/>
    <n v="131"/>
    <s v="Ren, Tibbs, McLauchlan, Ma, Harrington"/>
    <n v="2021"/>
    <s v="Refrigerator cost trap for low-income households: Developments in measurement and verification of appliance replacements"/>
    <s v="Energy efficiency of domestic refrigerators has markedly improved over recent years. Despite these improvements,_x000a_low-income households in Australia still tend to own older and less energy-efficient refrigerators. Replacement_x000a_of old refrigerators with energy-efficient appliances presents an important opportunity to reduce_x000a_both greenhouse gas emissions and the electricity bills of households for sustainable development. This paper_x000a_presents the measurement and verification of energy savings froma sample of 16 household refrigerator replacements_x000a_under the Appliance Replacement Offer of the NewSouthWales Government, Australia. In-homemonitoring_x000a_and laboratory testing were conducted for both old and new refrigerators. A key challenge for this study was_x000a_to estimate the energy savings of the replacement in each household based on limited in-home monitoring data._x000a_The annual energy savings from the refrigerator replacement in the households were estimated using the artificial_x000a_neural networks (ANN)models for indoor air temperature prediction and the empiricalmodels for the refrigerator_x000a_energy consumption estimation. The experimental and estimation results both showed that most of the_x000a_households achieved substantial energy savings from the replacement. The average annual energy cost savings_x000a_and the average payback period of the refrigerator replacements were 53% and 4.3 years, respectively. It was_x000a_also found that the energy savings could be compromised if the size of the new refrigerator was much larger_x000a_than the old unit or if the efficiency of the old refrigerator was reasonably good."/>
    <n v="1"/>
    <s v="2017-2018"/>
    <x v="8"/>
    <n v="13"/>
    <x v="3"/>
    <x v="0"/>
    <x v="30"/>
    <s v="revealed preference"/>
    <s v="household"/>
    <s v="residents"/>
    <n v="1"/>
    <s v="opt_in"/>
    <n v="0"/>
    <s v="probably yes"/>
    <s v="probably no"/>
    <s v="small sample size, no statistical analysis of the results, only descriptive statistics for each household"/>
    <n v="0"/>
    <n v="0"/>
    <n v="0"/>
    <n v="0"/>
    <n v="0"/>
    <n v="1"/>
    <n v="0"/>
    <n v="0"/>
    <s v="can't disentangle scepific effects for each intervention ? - marketing, subsidy, help with installation"/>
    <n v="0"/>
    <n v="0"/>
    <n v="0"/>
    <n v="1"/>
    <n v="0"/>
    <n v="0"/>
    <n v="0"/>
    <n v="0"/>
    <n v="0"/>
    <s v="NA"/>
    <x v="1"/>
    <s v="annual electricity consumption for refrigeration"/>
    <s v="log scale"/>
    <n v="0.42526773540434409"/>
    <s v="decrease"/>
    <s v="NA"/>
    <s v="NA"/>
    <s v="NA"/>
    <s v="NA"/>
    <n v="0.53"/>
    <m/>
    <s v="NA"/>
    <s v="NA"/>
    <s v="NA"/>
    <s v="NA"/>
    <s v="NA"/>
    <s v="NA"/>
    <n v="14"/>
    <n v="14"/>
    <s v="NA"/>
    <s v="NA"/>
    <s v="NA"/>
    <n v="0.45"/>
    <s v="current "/>
    <s v="NA"/>
    <s v="NA"/>
    <s v="NA"/>
    <s v="NA"/>
    <s v="NA"/>
    <n v="0"/>
    <n v="0"/>
    <n v="0"/>
    <m/>
    <m/>
    <m/>
    <m/>
    <m/>
    <m/>
    <m/>
    <m/>
    <m/>
    <m/>
    <m/>
    <m/>
    <m/>
    <m/>
    <e v="#VALUE!"/>
    <m/>
    <m/>
  </r>
  <r>
    <x v="0"/>
    <n v="24"/>
    <n v="1061"/>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1.7500000000000002E-2"/>
    <s v="decrease"/>
    <n v="0.26400000000000001"/>
    <s v="NA"/>
    <n v="3"/>
    <n v="6.6287878787878785E-2"/>
    <n v="1.7654022150761728E-2"/>
    <n v="0.50437488834977351"/>
    <s v="NA"/>
    <s v="NA"/>
    <s v="NA"/>
    <s v="NA"/>
    <s v="NA"/>
    <s v="NA"/>
    <n v="375"/>
    <n v="6081"/>
    <s v="NA"/>
    <s v="NA"/>
    <s v="NA"/>
    <s v="NA"/>
    <s v="NA"/>
    <s v="NA"/>
    <s v="NA"/>
    <s v="NA"/>
    <s v="NA"/>
    <s v="NA"/>
    <n v="0"/>
    <n v="0"/>
    <n v="0"/>
    <m/>
    <m/>
    <m/>
    <m/>
    <m/>
    <m/>
    <m/>
    <m/>
    <m/>
    <m/>
    <n v="3.4230712863917989E-3"/>
    <n v="3.4230846563371624E-3"/>
    <n v="2.673796791076738E-3"/>
    <n v="2.6881720430107529E-3"/>
    <s v="NA"/>
    <n v="373"/>
    <s v="NA"/>
  </r>
  <r>
    <x v="0"/>
    <n v="24"/>
    <n v="1062"/>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2.1999999999999999E-2"/>
    <s v="increase"/>
    <n v="0.21199999999999999"/>
    <s v="NA"/>
    <n v="3"/>
    <n v="0.10377358490566037"/>
    <n v="2.2243784470438177E-2"/>
    <n v="0.50549977817740277"/>
    <s v="NA"/>
    <s v="NA"/>
    <s v="NA"/>
    <s v="NA"/>
    <s v="NA"/>
    <s v="NA"/>
    <n v="375"/>
    <n v="6081"/>
    <s v="NA"/>
    <s v="NA"/>
    <s v="NA"/>
    <s v="NA"/>
    <s v="NA"/>
    <s v="NA"/>
    <s v="NA"/>
    <s v="NA"/>
    <s v="NA"/>
    <s v="NA"/>
    <n v="0"/>
    <n v="0"/>
    <n v="0"/>
    <m/>
    <m/>
    <m/>
    <m/>
    <m/>
    <m/>
    <m/>
    <m/>
    <m/>
    <m/>
    <n v="5.3587679376424701E-3"/>
    <n v="5.3588192333564287E-3"/>
    <n v="2.6737967892388691E-3"/>
    <n v="2.6881720430107529E-3"/>
    <s v="NA"/>
    <n v="373"/>
    <s v="NA"/>
  </r>
  <r>
    <x v="0"/>
    <n v="24"/>
    <n v="1064"/>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4599999999999999"/>
    <s v="decrease"/>
    <n v="0.188"/>
    <s v="NA"/>
    <n v="3"/>
    <n v="0.77659574468085102"/>
    <n v="0.15719618805079616"/>
    <n v="0.53643530174064413"/>
    <s v="NA"/>
    <s v="NA"/>
    <s v="NA"/>
    <s v="NA"/>
    <s v="NA"/>
    <s v="NA"/>
    <n v="375"/>
    <n v="6081"/>
    <s v="NA"/>
    <s v="NA"/>
    <s v="NA"/>
    <s v="NA"/>
    <s v="NA"/>
    <s v="NA"/>
    <s v="NA"/>
    <s v="NA"/>
    <s v="NA"/>
    <s v="NA"/>
    <n v="0"/>
    <n v="0"/>
    <n v="1"/>
    <m/>
    <m/>
    <m/>
    <m/>
    <m/>
    <m/>
    <m/>
    <m/>
    <m/>
    <m/>
    <n v="4.0071022261504372E-2"/>
    <n v="4.0092490118533643E-2"/>
    <n v="2.6737898829954023E-3"/>
    <n v="2.6881720430107529E-3"/>
    <s v="NA"/>
    <n v="373"/>
    <s v="NA"/>
  </r>
  <r>
    <x v="0"/>
    <n v="24"/>
    <n v="1063"/>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56"/>
    <s v="increase"/>
    <n v="0.621"/>
    <s v="NA"/>
    <n v="3"/>
    <n v="0.25120772946859904"/>
    <n v="0.16882620308986906"/>
    <n v="0.53892110000546534"/>
    <s v="NA"/>
    <s v="NA"/>
    <s v="NA"/>
    <s v="NA"/>
    <s v="NA"/>
    <s v="NA"/>
    <n v="375"/>
    <n v="6081"/>
    <s v="NA"/>
    <s v="NA"/>
    <s v="NA"/>
    <s v="NA"/>
    <s v="NA"/>
    <s v="NA"/>
    <s v="NA"/>
    <s v="NA"/>
    <s v="NA"/>
    <s v="NA"/>
    <n v="0"/>
    <n v="0"/>
    <n v="0"/>
    <m/>
    <m/>
    <m/>
    <m/>
    <m/>
    <m/>
    <m/>
    <m/>
    <m/>
    <m/>
    <n v="1.2971220010807293E-2"/>
    <n v="1.2971947564531299E-2"/>
    <n v="2.6737967157345667E-3"/>
    <n v="2.6881720430107529E-3"/>
    <s v="NA"/>
    <n v="373"/>
    <s v="NA"/>
  </r>
  <r>
    <x v="0"/>
    <n v="24"/>
    <n v="1067"/>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91"/>
    <s v="decrease"/>
    <n v="0.53300000000000003"/>
    <s v="NA"/>
    <n v="3"/>
    <n v="0.35834896810506567"/>
    <n v="0.21045945208129946"/>
    <n v="0.54760536364581069"/>
    <s v="NA"/>
    <s v="NA"/>
    <s v="NA"/>
    <s v="NA"/>
    <s v="NA"/>
    <s v="NA"/>
    <n v="375"/>
    <n v="6081"/>
    <s v="NA"/>
    <s v="NA"/>
    <s v="NA"/>
    <s v="NA"/>
    <s v="NA"/>
    <s v="NA"/>
    <s v="NA"/>
    <s v="NA"/>
    <s v="NA"/>
    <s v="NA"/>
    <n v="0"/>
    <n v="0"/>
    <n v="1"/>
    <m/>
    <m/>
    <m/>
    <m/>
    <m/>
    <m/>
    <m/>
    <m/>
    <m/>
    <m/>
    <n v="1.8501893543383965E-2"/>
    <n v="1.8504005166909823E-2"/>
    <n v="2.6737964779771865E-3"/>
    <n v="2.6881720430107529E-3"/>
    <s v="NA"/>
    <n v="373"/>
    <s v="NA"/>
  </r>
  <r>
    <x v="0"/>
    <n v="24"/>
    <n v="1066"/>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9900000000000001"/>
    <s v="increase"/>
    <n v="0.188"/>
    <s v="NA"/>
    <n v="3"/>
    <n v="1.0585106382978724"/>
    <n v="0.22018196589987249"/>
    <n v="0.54958646842503955"/>
    <s v="NA"/>
    <s v="NA"/>
    <s v="NA"/>
    <s v="NA"/>
    <s v="NA"/>
    <s v="NA"/>
    <n v="375"/>
    <n v="6081"/>
    <s v="NA"/>
    <s v="NA"/>
    <s v="NA"/>
    <s v="NA"/>
    <s v="NA"/>
    <s v="NA"/>
    <s v="NA"/>
    <s v="NA"/>
    <s v="NA"/>
    <s v="NA"/>
    <n v="0"/>
    <n v="0"/>
    <n v="1"/>
    <m/>
    <m/>
    <m/>
    <m/>
    <m/>
    <m/>
    <m/>
    <m/>
    <m/>
    <m/>
    <n v="5.4579776966369314E-2"/>
    <n v="5.4634070889081947E-2"/>
    <n v="2.6737729692011378E-3"/>
    <n v="2.6881720430107529E-3"/>
    <s v="NA"/>
    <n v="373"/>
    <s v="NA"/>
  </r>
  <r>
    <x v="0"/>
    <n v="24"/>
    <n v="1060"/>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22900000000000001"/>
    <s v="increase"/>
    <n v="0.109"/>
    <s v="NA"/>
    <n v="3"/>
    <n v="2.1009174311926606"/>
    <n v="0.2573420390098391"/>
    <n v="0.55700111781082129"/>
    <s v="NA"/>
    <s v="NA"/>
    <s v="NA"/>
    <s v="NA"/>
    <s v="NA"/>
    <s v="NA"/>
    <n v="375"/>
    <n v="6081"/>
    <s v="NA"/>
    <s v="NA"/>
    <s v="NA"/>
    <s v="NA"/>
    <s v="NA"/>
    <s v="NA"/>
    <s v="NA"/>
    <s v="NA"/>
    <s v="NA"/>
    <s v="NA"/>
    <n v="0"/>
    <n v="0"/>
    <n v="0"/>
    <m/>
    <m/>
    <m/>
    <m/>
    <m/>
    <m/>
    <m/>
    <m/>
    <m/>
    <m/>
    <n v="0.1078580072117359"/>
    <n v="0.10827920105368449"/>
    <n v="2.6734292480947645E-3"/>
    <n v="2.6881720430107529E-3"/>
    <s v="NA"/>
    <n v="373"/>
    <s v="NA"/>
  </r>
  <r>
    <x v="0"/>
    <n v="24"/>
    <n v="1065"/>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27500000000000002"/>
    <s v="increase"/>
    <n v="0.77100000000000002"/>
    <s v="NA"/>
    <n v="3"/>
    <n v="0.35667963683527887"/>
    <n v="0.31653067486762154"/>
    <n v="0.56831998347824808"/>
    <s v="NA"/>
    <s v="NA"/>
    <s v="NA"/>
    <s v="NA"/>
    <s v="NA"/>
    <s v="NA"/>
    <n v="375"/>
    <n v="6081"/>
    <s v="NA"/>
    <s v="NA"/>
    <s v="NA"/>
    <s v="NA"/>
    <s v="NA"/>
    <s v="NA"/>
    <s v="NA"/>
    <s v="NA"/>
    <s v="NA"/>
    <s v="NA"/>
    <n v="0"/>
    <n v="0"/>
    <n v="1"/>
    <m/>
    <m/>
    <m/>
    <m/>
    <m/>
    <m/>
    <m/>
    <m/>
    <m/>
    <m/>
    <n v="1.8415733701710926E-2"/>
    <n v="1.8417815958123879E-2"/>
    <n v="2.6737964837768528E-3"/>
    <n v="2.6881720430107529E-3"/>
    <s v="NA"/>
    <n v="373"/>
    <s v="NA"/>
  </r>
  <r>
    <x v="0"/>
    <n v="24"/>
    <n v="1069"/>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01"/>
    <s v="decrease"/>
    <n v="2.17"/>
    <s v="NA"/>
    <n v="3"/>
    <n v="1.3870967741935483"/>
    <n v="19.287399925240926"/>
    <n v="0.95302385432171643"/>
    <s v="NA"/>
    <s v="NA"/>
    <s v="NA"/>
    <s v="NA"/>
    <s v="NA"/>
    <s v="NA"/>
    <n v="163"/>
    <n v="163"/>
    <s v="NA"/>
    <s v="NA"/>
    <s v="NA"/>
    <s v="NA"/>
    <s v="NA"/>
    <s v="NA"/>
    <s v="NA"/>
    <s v="NA"/>
    <s v="NA"/>
    <s v="NA"/>
    <n v="0"/>
    <n v="0"/>
    <n v="1"/>
    <m/>
    <m/>
    <m/>
    <m/>
    <m/>
    <m/>
    <m/>
    <m/>
    <m/>
    <m/>
    <n v="0.10801020309415331"/>
    <n v="0.10843319088266559"/>
    <n v="6.1719861429199588E-3"/>
    <n v="6.2500000000000003E-3"/>
    <s v="NA"/>
    <n v="161"/>
    <s v="NA"/>
  </r>
  <r>
    <x v="0"/>
    <n v="24"/>
    <n v="1068"/>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7"/>
    <s v="decrease"/>
    <n v="7.31"/>
    <s v="NA"/>
    <n v="3"/>
    <n v="0.50615595075239406"/>
    <n v="39.447304360067399"/>
    <n v="0.9758729785823308"/>
    <s v="NA"/>
    <s v="NA"/>
    <s v="NA"/>
    <s v="NA"/>
    <s v="NA"/>
    <s v="NA"/>
    <n v="163"/>
    <n v="163"/>
    <s v="NA"/>
    <s v="NA"/>
    <s v="NA"/>
    <s v="NA"/>
    <s v="NA"/>
    <s v="NA"/>
    <s v="NA"/>
    <s v="NA"/>
    <s v="NA"/>
    <s v="NA"/>
    <n v="0"/>
    <n v="0"/>
    <n v="1"/>
    <m/>
    <m/>
    <m/>
    <m/>
    <m/>
    <m/>
    <m/>
    <m/>
    <m/>
    <m/>
    <n v="3.9614074457903617E-2"/>
    <n v="3.9634815781559279E-2"/>
    <n v="6.1728242729301415E-3"/>
    <n v="6.2500000000000003E-3"/>
    <s v="NA"/>
    <n v="161"/>
    <s v="NA"/>
  </r>
  <r>
    <x v="0"/>
    <m/>
    <n v="1163"/>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NA"/>
    <x v="1"/>
    <s v="average daily kWh consumption within a given billing period"/>
    <s v="log scale"/>
    <n v="0.01"/>
    <s v="decrease"/>
    <n v="4.3478260869565216E-2"/>
    <n v="0.81640000000000001"/>
    <n v="2"/>
    <n v="0.23"/>
    <n v="1.0050167084167949E-2"/>
    <m/>
    <s v="NA"/>
    <n v="109"/>
    <s v="NA"/>
    <s v="NA"/>
    <n v="406"/>
    <s v="NA"/>
    <n v="515"/>
    <n v="515"/>
    <s v="NA"/>
    <s v="NA"/>
    <s v="NA"/>
    <n v="1"/>
    <s v="current "/>
    <s v="NA"/>
    <s v="NA"/>
    <s v="NA"/>
    <s v="NA"/>
    <s v="NA"/>
    <n v="1"/>
    <n v="1"/>
    <n v="1"/>
    <m/>
    <m/>
    <m/>
    <m/>
    <m/>
    <m/>
    <m/>
    <m/>
    <m/>
    <m/>
    <n v="1.0134490446309997E-2"/>
    <n v="1.0134837431758794E-2"/>
    <n v="1.9455252713028077E-3"/>
    <n v="1.953125E-3"/>
    <m/>
    <m/>
    <m/>
  </r>
  <r>
    <x v="0"/>
    <m/>
    <n v="1164"/>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interaction with LN(cooling deegree days)"/>
    <x v="1"/>
    <s v="average daily kWh consumption within a given billing period"/>
    <s v="log scale"/>
    <n v="0.12"/>
    <s v="decrease"/>
    <n v="2.4844720496894408E-2"/>
    <n v="1E-4"/>
    <n v="3"/>
    <n v="4.83"/>
    <n v="0.12749685157937574"/>
    <m/>
    <s v="NA"/>
    <n v="109"/>
    <s v="NA"/>
    <s v="NA"/>
    <n v="406"/>
    <s v="NA"/>
    <n v="515"/>
    <n v="515"/>
    <s v="NA"/>
    <s v="NA"/>
    <s v="NA"/>
    <n v="1"/>
    <s v="current "/>
    <s v="NA"/>
    <s v="NA"/>
    <s v="NA"/>
    <s v="NA"/>
    <s v="NA"/>
    <n v="1"/>
    <n v="1"/>
    <n v="1"/>
    <m/>
    <m/>
    <m/>
    <m/>
    <m/>
    <m/>
    <m/>
    <m/>
    <m/>
    <m/>
    <n v="0.20817246417215696"/>
    <n v="0.21126026317506777"/>
    <n v="1.9416499666781906E-3"/>
    <n v="1.953125E-3"/>
    <m/>
    <m/>
    <m/>
  </r>
  <r>
    <x v="0"/>
    <n v="25"/>
    <n v="1102"/>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B"/>
    <x v="0"/>
    <s v="probability of choice of energy efficient appliance"/>
    <s v="log scale"/>
    <n v="0.24340000000000001"/>
    <s v="increase"/>
    <n v="8.2799999999999999E-2"/>
    <n v="0.01"/>
    <n v="1"/>
    <n v="2.9396135265700485"/>
    <n v="0.27557875358719897"/>
    <n v="0.56055135493614083"/>
    <s v="NA"/>
    <s v="NA"/>
    <s v="NA"/>
    <s v="NA"/>
    <s v="NA"/>
    <s v="NA"/>
    <n v="151"/>
    <n v="151"/>
    <s v="NA"/>
    <s v="NA"/>
    <s v="NA"/>
    <s v="NA"/>
    <s v="NA"/>
    <s v="NA"/>
    <s v="NA"/>
    <s v="NA"/>
    <s v="NA"/>
    <s v="alphabetical"/>
    <n v="0"/>
    <n v="0"/>
    <n v="0"/>
    <m/>
    <m/>
    <m/>
    <m/>
    <m/>
    <m/>
    <m/>
    <m/>
    <m/>
    <m/>
    <n v="0.23265777562024986"/>
    <n v="0.23699751145474932"/>
    <n v="6.6456345063166536E-3"/>
    <n v="6.7567567567567571E-3"/>
    <s v="NA"/>
    <n v="150"/>
    <s v="NA"/>
  </r>
  <r>
    <x v="0"/>
    <n v="25"/>
    <n v="1101"/>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A"/>
    <x v="0"/>
    <s v="probability of choice of energy efficient appliance"/>
    <s v="log scale"/>
    <n v="0.4874"/>
    <s v="increase"/>
    <n v="9.1800000000000007E-2"/>
    <n v="0.01"/>
    <n v="1"/>
    <n v="5.3093681917211324"/>
    <n v="0.62807771023382664"/>
    <n v="0.61949374780434951"/>
    <s v="NA"/>
    <s v="NA"/>
    <s v="NA"/>
    <s v="NA"/>
    <s v="NA"/>
    <s v="NA"/>
    <n v="151"/>
    <n v="151"/>
    <s v="NA"/>
    <s v="NA"/>
    <s v="NA"/>
    <s v="NA"/>
    <s v="NA"/>
    <s v="NA"/>
    <s v="NA"/>
    <s v="NA"/>
    <s v="NA"/>
    <s v="alphabetical"/>
    <n v="0"/>
    <n v="0"/>
    <n v="0"/>
    <m/>
    <m/>
    <m/>
    <m/>
    <m/>
    <m/>
    <m/>
    <m/>
    <m/>
    <m/>
    <n v="0.39663103881354556"/>
    <n v="0.41964466459073052"/>
    <n v="6.4599214053169289E-3"/>
    <n v="6.7567567567567571E-3"/>
    <s v="NA"/>
    <n v="150"/>
    <s v="NA"/>
  </r>
  <r>
    <x v="4"/>
    <m/>
    <n v="1197"/>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6500000000000001"/>
    <s v="increase"/>
    <n v="1.4E-2"/>
    <n v="0.05"/>
    <n v="1"/>
    <n v="11.785714285714286"/>
    <s v="NA"/>
    <m/>
    <s v="NA"/>
    <s v="NA"/>
    <s v="NA"/>
    <s v="NA"/>
    <s v="NA"/>
    <s v="NA"/>
    <n v="1143"/>
    <n v="1143"/>
    <s v="NA"/>
    <s v="NA"/>
    <s v="NA"/>
    <s v="NA"/>
    <s v="NA"/>
    <n v="0"/>
    <s v="NA"/>
    <n v="0"/>
    <s v="NA"/>
    <s v="alphabetical with +"/>
    <n v="0"/>
    <n v="0"/>
    <n v="0"/>
    <m/>
    <m/>
    <m/>
    <m/>
    <m/>
    <m/>
    <m/>
    <m/>
    <m/>
    <m/>
    <n v="0.32917611569084376"/>
    <n v="0.34190396617995006"/>
    <n v="8.6369070253296037E-4"/>
    <n v="8.7719298245614037E-4"/>
    <m/>
    <m/>
    <m/>
  </r>
  <r>
    <x v="4"/>
    <m/>
    <n v="1198"/>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1"/>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8400000000000001"/>
    <s v="increase"/>
    <n v="4.0000000000000002E-4"/>
    <n v="0.01"/>
    <n v="1"/>
    <n v="960"/>
    <s v="NA"/>
    <m/>
    <s v="NA"/>
    <s v="NA"/>
    <s v="NA"/>
    <s v="NA"/>
    <s v="NA"/>
    <s v="NA"/>
    <n v="1143"/>
    <n v="1143"/>
    <s v="NA"/>
    <s v="NA"/>
    <s v="NA"/>
    <s v="NA"/>
    <s v="NA"/>
    <n v="0"/>
    <s v="NA"/>
    <n v="0"/>
    <s v="NA"/>
    <s v="alphabetical with +"/>
    <n v="0"/>
    <n v="0"/>
    <n v="0"/>
    <m/>
    <m/>
    <m/>
    <m/>
    <m/>
    <m/>
    <m/>
    <m/>
    <m/>
    <m/>
    <n v="0.99938045903497763"/>
    <n v="4.0396845476129251"/>
    <n v="-0.23232174563184291"/>
    <n v="8.7719298245614037E-4"/>
    <m/>
    <m/>
    <m/>
  </r>
  <r>
    <x v="4"/>
    <m/>
    <n v="1199"/>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29"/>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88"/>
    <s v="increase"/>
    <n v="6.0000000000000001E-3"/>
    <n v="0.01"/>
    <n v="1"/>
    <n v="31.333333333333332"/>
    <s v="NA"/>
    <m/>
    <s v="NA"/>
    <s v="NA"/>
    <s v="NA"/>
    <s v="NA"/>
    <s v="NA"/>
    <s v="NA"/>
    <n v="1143"/>
    <n v="1143"/>
    <s v="NA"/>
    <s v="NA"/>
    <s v="NA"/>
    <s v="NA"/>
    <s v="NA"/>
    <n v="0"/>
    <s v="NA"/>
    <n v="0"/>
    <s v="NA"/>
    <s v="alphabetical with +"/>
    <n v="0"/>
    <n v="0"/>
    <n v="0"/>
    <m/>
    <m/>
    <m/>
    <m/>
    <m/>
    <m/>
    <m/>
    <m/>
    <m/>
    <m/>
    <n v="0.6797509779625166"/>
    <n v="0.8286509734911085"/>
    <n v="4.6277994673218209E-4"/>
    <n v="8.7719298245614037E-4"/>
    <m/>
    <m/>
    <m/>
  </r>
  <r>
    <x v="4"/>
    <m/>
    <n v="1200"/>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7799999999999999"/>
    <s v="increase"/>
    <n v="4.0000000000000002E-4"/>
    <n v="0.01"/>
    <n v="1"/>
    <n v="444.99999999999994"/>
    <s v="NA"/>
    <m/>
    <s v="NA"/>
    <s v="NA"/>
    <s v="NA"/>
    <s v="NA"/>
    <s v="NA"/>
    <s v="NA"/>
    <n v="1143"/>
    <n v="1143"/>
    <s v="NA"/>
    <s v="NA"/>
    <s v="NA"/>
    <s v="NA"/>
    <s v="NA"/>
    <n v="0"/>
    <s v="NA"/>
    <n v="0"/>
    <s v="NA"/>
    <s v="alphabetical with +"/>
    <n v="0"/>
    <n v="0"/>
    <n v="0"/>
    <m/>
    <m/>
    <m/>
    <m/>
    <m/>
    <m/>
    <m/>
    <m/>
    <m/>
    <m/>
    <n v="0.9971264344531976"/>
    <n v="3.2719555170560017"/>
    <n v="-9.9484991759079461E-2"/>
    <n v="8.7719298245614037E-4"/>
    <m/>
    <m/>
    <m/>
  </r>
  <r>
    <x v="4"/>
    <m/>
    <n v="1201"/>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2"/>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2500000000000001"/>
    <s v="increase"/>
    <n v="4.0000000000000002E-4"/>
    <n v="0.01"/>
    <n v="1"/>
    <n v="562.5"/>
    <s v="NA"/>
    <m/>
    <s v="NA"/>
    <s v="NA"/>
    <s v="NA"/>
    <s v="NA"/>
    <s v="NA"/>
    <s v="NA"/>
    <n v="1143"/>
    <n v="1143"/>
    <s v="NA"/>
    <s v="NA"/>
    <s v="NA"/>
    <s v="NA"/>
    <s v="NA"/>
    <n v="0"/>
    <s v="NA"/>
    <n v="0"/>
    <s v="NA"/>
    <s v="alphabetical with +"/>
    <n v="0"/>
    <n v="0"/>
    <n v="0"/>
    <m/>
    <m/>
    <m/>
    <m/>
    <m/>
    <m/>
    <m/>
    <m/>
    <m/>
    <m/>
    <n v="0.99819865675054298"/>
    <n v="3.5057343728871753"/>
    <n v="-0.13139086207881251"/>
    <n v="8.7719298245614037E-4"/>
    <m/>
    <m/>
    <m/>
  </r>
  <r>
    <x v="4"/>
    <m/>
    <n v="1202"/>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17"/>
    <s v="increase"/>
    <n v="1.0999999999999999E-2"/>
    <n v="0.05"/>
    <n v="1"/>
    <n v="19.727272727272727"/>
    <s v="NA"/>
    <m/>
    <s v="NA"/>
    <s v="NA"/>
    <s v="NA"/>
    <s v="NA"/>
    <s v="NA"/>
    <s v="NA"/>
    <n v="1143"/>
    <n v="1143"/>
    <s v="NA"/>
    <s v="NA"/>
    <s v="NA"/>
    <s v="NA"/>
    <s v="NA"/>
    <n v="0"/>
    <s v="NA"/>
    <n v="0"/>
    <s v="NA"/>
    <s v="alphabetical with +"/>
    <n v="0"/>
    <n v="0"/>
    <n v="0"/>
    <m/>
    <m/>
    <m/>
    <m/>
    <m/>
    <m/>
    <m/>
    <m/>
    <m/>
    <m/>
    <n v="0.50398108716659962"/>
    <n v="0.55462843634902004"/>
    <n v="7.9279722006820284E-4"/>
    <n v="8.7719298245614037E-4"/>
    <m/>
    <m/>
    <m/>
  </r>
  <r>
    <x v="4"/>
    <m/>
    <n v="1203"/>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4"/>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2900000000000001"/>
    <s v="increase"/>
    <n v="1E-3"/>
    <n v="0.01"/>
    <n v="1"/>
    <n v="329"/>
    <s v="NA"/>
    <m/>
    <s v="NA"/>
    <s v="NA"/>
    <s v="NA"/>
    <s v="NA"/>
    <s v="NA"/>
    <s v="NA"/>
    <n v="1143"/>
    <n v="1143"/>
    <s v="NA"/>
    <s v="NA"/>
    <s v="NA"/>
    <s v="NA"/>
    <s v="NA"/>
    <n v="0"/>
    <s v="NA"/>
    <n v="0"/>
    <s v="NA"/>
    <s v="alphabetical with +"/>
    <n v="0"/>
    <n v="0"/>
    <n v="0"/>
    <m/>
    <m/>
    <m/>
    <m/>
    <m/>
    <m/>
    <m/>
    <m/>
    <m/>
    <m/>
    <n v="0.99476156646916469"/>
    <n v="2.9711286487420243"/>
    <n v="-6.736131167647591E-2"/>
    <n v="8.7719298245614037E-4"/>
    <m/>
    <m/>
    <m/>
  </r>
  <r>
    <x v="4"/>
    <m/>
    <n v="1204"/>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52"/>
    <s v="increase"/>
    <n v="0.107"/>
    <n v="0.1"/>
    <n v="2"/>
    <n v="1.4205607476635513"/>
    <s v="NA"/>
    <m/>
    <s v="NA"/>
    <s v="NA"/>
    <s v="NA"/>
    <s v="NA"/>
    <s v="NA"/>
    <s v="NA"/>
    <n v="1143"/>
    <n v="1143"/>
    <s v="NA"/>
    <s v="NA"/>
    <s v="NA"/>
    <s v="NA"/>
    <s v="NA"/>
    <n v="0"/>
    <s v="NA"/>
    <n v="0"/>
    <s v="NA"/>
    <s v="alphabetical with +"/>
    <n v="0"/>
    <n v="0"/>
    <n v="0"/>
    <m/>
    <m/>
    <m/>
    <m/>
    <m/>
    <m/>
    <m/>
    <m/>
    <m/>
    <m/>
    <n v="4.1981084605393931E-2"/>
    <n v="4.2005773365978882E-2"/>
    <n v="8.7565401628082187E-4"/>
    <n v="8.7719298245614037E-4"/>
    <m/>
    <m/>
    <m/>
  </r>
  <r>
    <x v="3"/>
    <m/>
    <n v="1233"/>
    <n v="309"/>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1"/>
    <s v="2013-2014"/>
    <x v="13"/>
    <s v="73-74"/>
    <x v="3"/>
    <x v="2"/>
    <x v="1"/>
    <s v="revealed preference"/>
    <s v="household"/>
    <s v="residents"/>
    <n v="1"/>
    <s v="opt_in"/>
    <n v="0"/>
    <s v="probably yes"/>
    <s v="probably no"/>
    <s v="study under contract with Energy Star"/>
    <n v="0"/>
    <n v="1"/>
    <n v="1"/>
    <n v="1"/>
    <n v="0"/>
    <n v="0"/>
    <n v="0"/>
    <n v="0"/>
    <s v="NA"/>
    <n v="0"/>
    <n v="0"/>
    <n v="0"/>
    <n v="0"/>
    <n v="0"/>
    <n v="1"/>
    <n v="0"/>
    <n v="0"/>
    <n v="0"/>
    <s v="NA"/>
    <x v="1"/>
    <s v="the average daily energy consumption (kWh)"/>
    <s v="NA"/>
    <n v="5.4961558073974334E-2"/>
    <s v="decrease"/>
    <e v="#VALUE!"/>
    <s v="NA"/>
    <s v="NA"/>
    <s v="NA"/>
    <n v="5.6500000000000002E-2"/>
    <m/>
    <n v="18.86"/>
    <n v="6176"/>
    <s v="NA"/>
    <n v="17.84"/>
    <n v="54"/>
    <s v="NA"/>
    <n v="6230"/>
    <n v="6230"/>
    <s v="NA"/>
    <s v="NA"/>
    <s v="NA"/>
    <s v="NA"/>
    <s v="NA"/>
    <s v="NA"/>
    <s v="NA"/>
    <s v="NA"/>
    <s v="NA"/>
    <s v="NA"/>
    <n v="1"/>
    <n v="0"/>
    <n v="0"/>
    <m/>
    <m/>
    <m/>
    <m/>
    <m/>
    <m/>
    <m/>
    <m/>
    <m/>
    <m/>
    <m/>
    <m/>
    <m/>
    <m/>
    <e v="#VALUE!"/>
    <m/>
    <m/>
  </r>
  <r>
    <x v="3"/>
    <n v="26"/>
    <n v="1250"/>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0"/>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s v="NA"/>
    <s v="NA"/>
    <s v="N A"/>
    <s v="NA"/>
    <n v="7.9603753910323256"/>
    <m/>
    <n v="959"/>
    <n v="3"/>
    <s v="NA"/>
    <n v="8593"/>
    <n v="3"/>
    <s v="NA"/>
    <n v="6"/>
    <s v="NA"/>
    <n v="7634"/>
    <s v="NA"/>
    <s v="NA"/>
    <s v="NA"/>
    <s v="NA"/>
    <s v="NA"/>
    <s v="NA"/>
    <n v="1"/>
    <s v="NA"/>
    <s v="NA"/>
    <n v="0"/>
    <n v="0"/>
    <n v="0"/>
    <m/>
    <m/>
    <m/>
    <m/>
    <m/>
    <m/>
    <m/>
    <m/>
    <m/>
    <m/>
    <e v="#VALUE!"/>
    <e v="#VALUE!"/>
    <e v="#VALUE!"/>
    <n v="0.33333333333333331"/>
    <e v="#VALUE!"/>
    <n v="4"/>
    <s v="not enough data"/>
  </r>
  <r>
    <x v="3"/>
    <n v="26"/>
    <n v="1251"/>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2"/>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n v="1"/>
    <n v="0.02"/>
    <n v="1"/>
    <n v="3.7469473879791968"/>
    <n v="34.655601659751035"/>
    <m/>
    <n v="241"/>
    <n v="3"/>
    <s v="NA"/>
    <n v="8593"/>
    <n v="3"/>
    <s v="NA"/>
    <n v="6"/>
    <s v="NA"/>
    <n v="8352"/>
    <s v="NA"/>
    <s v="NA"/>
    <s v="NA"/>
    <s v="NA"/>
    <s v="NA"/>
    <s v="NA"/>
    <n v="1"/>
    <s v="NA"/>
    <s v="NA"/>
    <n v="0"/>
    <n v="0"/>
    <n v="0"/>
    <m/>
    <m/>
    <m/>
    <m/>
    <m/>
    <m/>
    <m/>
    <m/>
    <m/>
    <m/>
    <n v="0.99999997132859308"/>
    <n v="9.0302563258721591"/>
    <n v="-1329.7346701207366"/>
    <n v="0.33333333333333331"/>
    <n v="8352"/>
    <n v="4"/>
    <s v="outlier"/>
  </r>
  <r>
    <x v="0"/>
    <m/>
    <n v="1187"/>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69"/>
    <x v="26"/>
    <x v="3"/>
    <x v="13"/>
    <s v="stated preference"/>
    <s v="retailer"/>
    <s v="individuals"/>
    <n v="1"/>
    <s v="opt_out"/>
    <n v="1"/>
    <s v="probably no"/>
    <s v="probably no"/>
    <s v="effect of label or energy efficiency?"/>
    <n v="0"/>
    <n v="0"/>
    <n v="1"/>
    <n v="0"/>
    <n v="0"/>
    <n v="0"/>
    <n v="0"/>
    <n v="0"/>
    <s v="China Energy Efficiency Label"/>
    <n v="0"/>
    <n v="0"/>
    <n v="0"/>
    <n v="0"/>
    <n v="0"/>
    <n v="0"/>
    <n v="0"/>
    <n v="1"/>
    <n v="0"/>
    <s v="NA"/>
    <x v="2"/>
    <s v="WTP for highest energy rank"/>
    <s v="NA"/>
    <n v="0.49590000000000001"/>
    <s v="increase"/>
    <s v="NA"/>
    <n v="0.1"/>
    <n v="1"/>
    <s v="NA"/>
    <s v="NA"/>
    <m/>
    <s v="NA"/>
    <s v="NA"/>
    <s v="NA"/>
    <s v="NA"/>
    <s v="NA"/>
    <s v="NA"/>
    <n v="600"/>
    <n v="3600"/>
    <s v="NA"/>
    <s v="NA"/>
    <s v="NA"/>
    <s v="NA"/>
    <s v="NA"/>
    <m/>
    <m/>
    <m/>
    <m/>
    <m/>
    <n v="0"/>
    <n v="1"/>
    <n v="1"/>
    <m/>
    <m/>
    <m/>
    <m/>
    <m/>
    <m/>
    <m/>
    <m/>
    <m/>
    <m/>
    <e v="#VALUE!"/>
    <e v="#VALUE!"/>
    <e v="#VALUE!"/>
    <n v="1.6750418760469012E-3"/>
    <m/>
    <m/>
    <m/>
  </r>
  <r>
    <x v="0"/>
    <m/>
    <n v="1188"/>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retailer"/>
    <s v="individuals"/>
    <n v="1"/>
    <s v="opt_out"/>
    <n v="1"/>
    <s v="probably no"/>
    <s v="probably no"/>
    <s v="effect of label or energy efficiency?"/>
    <n v="0"/>
    <n v="0"/>
    <n v="1"/>
    <n v="0"/>
    <n v="0"/>
    <n v="0"/>
    <n v="0"/>
    <n v="0"/>
    <s v="China Energy Efficiency Label"/>
    <n v="0"/>
    <n v="0"/>
    <n v="0"/>
    <n v="1"/>
    <n v="0"/>
    <n v="0"/>
    <n v="0"/>
    <n v="0"/>
    <n v="0"/>
    <s v="NA"/>
    <x v="2"/>
    <s v="WTP for highest energy rank"/>
    <s v="NA"/>
    <n v="0.17399999999999999"/>
    <s v="increase"/>
    <s v="NA"/>
    <n v="0.1"/>
    <n v="1"/>
    <s v="NA"/>
    <s v="NA"/>
    <m/>
    <s v="NA"/>
    <s v="NA"/>
    <s v="NA"/>
    <s v="NA"/>
    <s v="NA"/>
    <s v="NA"/>
    <n v="600"/>
    <n v="3600"/>
    <s v="NA"/>
    <s v="NA"/>
    <s v="NA"/>
    <s v="NA"/>
    <s v="NA"/>
    <m/>
    <m/>
    <m/>
    <m/>
    <m/>
    <n v="0"/>
    <n v="1"/>
    <n v="1"/>
    <m/>
    <m/>
    <m/>
    <m/>
    <m/>
    <m/>
    <m/>
    <m/>
    <m/>
    <m/>
    <e v="#VALUE!"/>
    <e v="#VALUE!"/>
    <e v="#VALUE!"/>
    <n v="1.6750418760469012E-3"/>
    <m/>
    <m/>
    <m/>
  </r>
  <r>
    <x v="0"/>
    <m/>
    <n v="1189"/>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online"/>
    <s v="individuals"/>
    <n v="1"/>
    <s v="opt_out"/>
    <n v="1"/>
    <s v="probably no"/>
    <s v="probably no"/>
    <s v="effect of label or energy efficiency?"/>
    <n v="0"/>
    <n v="0"/>
    <n v="1"/>
    <n v="0"/>
    <n v="0"/>
    <n v="0"/>
    <n v="0"/>
    <n v="0"/>
    <s v="China Energy Efficiency Label"/>
    <n v="0"/>
    <n v="0"/>
    <n v="0"/>
    <n v="0"/>
    <n v="0"/>
    <n v="0"/>
    <n v="0"/>
    <n v="1"/>
    <n v="0"/>
    <s v="NA"/>
    <x v="2"/>
    <s v="WTP for highest energy rank"/>
    <s v="NA"/>
    <n v="3.0964"/>
    <s v="increase"/>
    <s v="NA"/>
    <n v="0.1"/>
    <n v="1"/>
    <s v="NA"/>
    <s v="NA"/>
    <m/>
    <s v="NA"/>
    <s v="NA"/>
    <s v="NA"/>
    <s v="NA"/>
    <s v="NA"/>
    <s v="NA"/>
    <n v="600"/>
    <n v="3600"/>
    <s v="NA"/>
    <s v="NA"/>
    <s v="NA"/>
    <s v="NA"/>
    <s v="NA"/>
    <m/>
    <m/>
    <m/>
    <m/>
    <m/>
    <n v="0"/>
    <n v="1"/>
    <n v="1"/>
    <m/>
    <m/>
    <m/>
    <m/>
    <m/>
    <m/>
    <m/>
    <m/>
    <m/>
    <m/>
    <e v="#VALUE!"/>
    <e v="#VALUE!"/>
    <e v="#VALUE!"/>
    <n v="1.6750418760469012E-3"/>
    <m/>
    <m/>
    <m/>
  </r>
  <r>
    <x v="0"/>
    <m/>
    <n v="1190"/>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1"/>
    <x v="26"/>
    <x v="3"/>
    <x v="13"/>
    <s v="stated preference"/>
    <s v="online"/>
    <s v="individuals"/>
    <n v="1"/>
    <s v="opt_out"/>
    <n v="1"/>
    <s v="probably no"/>
    <s v="probably no"/>
    <s v="effect of label or energy efficiency?"/>
    <n v="0"/>
    <n v="0"/>
    <n v="1"/>
    <n v="0"/>
    <n v="0"/>
    <n v="0"/>
    <n v="0"/>
    <n v="0"/>
    <s v="China Energy Efficiency Label"/>
    <n v="0"/>
    <n v="0"/>
    <n v="0"/>
    <n v="1"/>
    <n v="0"/>
    <n v="0"/>
    <n v="0"/>
    <n v="0"/>
    <n v="0"/>
    <s v="NA"/>
    <x v="2"/>
    <s v="WTP for highest energy rank"/>
    <s v="NA"/>
    <n v="3.5619999999999998"/>
    <s v="increase"/>
    <s v="NA"/>
    <n v="0.05"/>
    <n v="1"/>
    <s v="NA"/>
    <s v="NA"/>
    <m/>
    <s v="NA"/>
    <s v="NA"/>
    <s v="NA"/>
    <s v="NA"/>
    <s v="NA"/>
    <s v="NA"/>
    <n v="600"/>
    <n v="3600"/>
    <s v="NA"/>
    <s v="NA"/>
    <s v="NA"/>
    <s v="NA"/>
    <s v="NA"/>
    <m/>
    <m/>
    <m/>
    <m/>
    <m/>
    <n v="0"/>
    <n v="1"/>
    <n v="1"/>
    <m/>
    <m/>
    <m/>
    <m/>
    <m/>
    <m/>
    <m/>
    <m/>
    <m/>
    <m/>
    <e v="#VALUE!"/>
    <e v="#VALUE!"/>
    <e v="#VALUE!"/>
    <n v="1.6750418760469012E-3"/>
    <m/>
    <m/>
    <m/>
  </r>
  <r>
    <x v="0"/>
    <m/>
    <n v="1122"/>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0"/>
    <n v="0"/>
    <n v="0"/>
    <n v="0"/>
    <n v="0"/>
    <n v="0"/>
    <s v="mixed interventions"/>
    <n v="0"/>
    <n v="0"/>
    <n v="0"/>
    <n v="1"/>
    <n v="0"/>
    <n v="0"/>
    <n v="0"/>
    <n v="0"/>
    <n v="0"/>
    <s v="NA"/>
    <x v="2"/>
    <s v="marginal WTP for energy efficiency improvement"/>
    <s v="NA"/>
    <n v="0.1305"/>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3"/>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0"/>
    <n v="1"/>
    <n v="0"/>
    <n v="0"/>
    <n v="0"/>
    <n v="0"/>
    <n v="0"/>
    <s v="mixed interventions"/>
    <n v="0"/>
    <n v="0"/>
    <n v="0"/>
    <n v="1"/>
    <n v="0"/>
    <n v="0"/>
    <n v="0"/>
    <n v="0"/>
    <n v="0"/>
    <s v="NA"/>
    <x v="2"/>
    <s v="marginal WTP for energy efficiency improvement"/>
    <s v="NA"/>
    <n v="0.28129999999999999"/>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4"/>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49790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5"/>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0802"/>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6"/>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60389999999999999"/>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7"/>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1668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n v="27"/>
    <n v="1193"/>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decrease"/>
    <n v="2.4"/>
    <n v="0.1"/>
    <n v="2"/>
    <n v="1.6512273926074998"/>
    <n v="0"/>
    <m/>
    <n v="199.5"/>
    <n v="100"/>
    <n v="2.1"/>
    <n v="199.5"/>
    <n v="141"/>
    <n v="1.4"/>
    <n v="241"/>
    <n v="241"/>
    <n v="0"/>
    <s v="NA"/>
    <s v="NA"/>
    <s v="NA"/>
    <s v="NA"/>
    <n v="0"/>
    <s v="NA"/>
    <n v="0"/>
    <s v="NA"/>
    <s v="alphabetical with +"/>
    <n v="0"/>
    <n v="0"/>
    <n v="0"/>
    <m/>
    <m/>
    <m/>
    <m/>
    <m/>
    <m/>
    <m/>
    <m/>
    <m/>
    <m/>
    <n v="0"/>
    <n v="0"/>
    <n v="4.1666666666666666E-3"/>
    <n v="4.2016806722689074E-3"/>
    <n v="0"/>
    <n v="240"/>
    <s v="NA"/>
  </r>
  <r>
    <x v="0"/>
    <n v="27"/>
    <n v="1194"/>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increase"/>
    <n v="2.8"/>
    <n v="0.1"/>
    <n v="2"/>
    <n v="1.6521770093863108"/>
    <n v="3.0075187969924528E-3"/>
    <m/>
    <n v="199.5"/>
    <n v="100"/>
    <n v="2.1"/>
    <n v="200.1"/>
    <n v="110"/>
    <n v="1.9"/>
    <n v="210"/>
    <n v="210"/>
    <n v="0.59999999999999432"/>
    <s v="NA"/>
    <s v="NA"/>
    <s v="NA"/>
    <s v="NA"/>
    <n v="0"/>
    <s v="NA"/>
    <n v="0"/>
    <s v="NA"/>
    <s v="alphabetical with +"/>
    <n v="0"/>
    <n v="0"/>
    <n v="0"/>
    <m/>
    <m/>
    <m/>
    <m/>
    <m/>
    <m/>
    <m/>
    <m/>
    <m/>
    <m/>
    <n v="0.10653312363426425"/>
    <n v="0.10693891620630497"/>
    <n v="4.7840632510233495E-3"/>
    <n v="4.830917874396135E-3"/>
    <n v="0.21428571428571228"/>
    <n v="209"/>
    <s v="NA"/>
  </r>
  <r>
    <x v="0"/>
    <n v="27"/>
    <n v="1195"/>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5"/>
    <n v="0.05"/>
    <n v="1"/>
    <n v="1.9776"/>
    <n v="8.0264791063301519E-2"/>
    <m/>
    <n v="241.7"/>
    <n v="66"/>
    <n v="7.5"/>
    <n v="222.3"/>
    <n v="70"/>
    <n v="5.8"/>
    <n v="136"/>
    <n v="136"/>
    <n v="19.399999999999977"/>
    <s v="NA"/>
    <s v="NA"/>
    <s v="NA"/>
    <s v="NA"/>
    <n v="0"/>
    <s v="NA"/>
    <n v="0"/>
    <s v="NA"/>
    <s v="alphabetical with +"/>
    <n v="0"/>
    <n v="0"/>
    <n v="0"/>
    <m/>
    <m/>
    <m/>
    <m/>
    <m/>
    <m/>
    <m/>
    <m/>
    <m/>
    <m/>
    <n v="0.71443371736545624"/>
    <n v="0.89618197281213685"/>
    <n v="2.6293534933306177E-3"/>
    <n v="7.5187969924812026E-3"/>
    <n v="2.0421052631578922"/>
    <n v="135"/>
    <s v="NA"/>
  </r>
  <r>
    <x v="0"/>
    <n v="27"/>
    <n v="1196"/>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9"/>
    <n v="0.05"/>
    <n v="1"/>
    <n v="1.9776"/>
    <n v="9.6400496483243628E-2"/>
    <m/>
    <n v="241.7"/>
    <n v="66"/>
    <n v="7.5"/>
    <n v="218.4"/>
    <n v="58"/>
    <n v="6.2"/>
    <n v="124"/>
    <n v="124"/>
    <n v="23.299999999999983"/>
    <s v="NA"/>
    <s v="NA"/>
    <s v="NA"/>
    <s v="NA"/>
    <n v="0"/>
    <s v="NA"/>
    <n v="0"/>
    <s v="NA"/>
    <s v="alphabetical with +"/>
    <n v="0"/>
    <n v="0"/>
    <n v="0"/>
    <m/>
    <m/>
    <m/>
    <m/>
    <m/>
    <m/>
    <m/>
    <m/>
    <m/>
    <m/>
    <n v="0.76202000564235584"/>
    <n v="1.0010147737770376"/>
    <n v="-3.305103970764036E-5"/>
    <n v="8.2644628099173556E-3"/>
    <n v="2.3535353535353516"/>
    <n v="123"/>
    <s v="NA"/>
  </r>
  <r>
    <x v="0"/>
    <m/>
    <n v="1142"/>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4"/>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405.995"/>
    <s v="decrease"/>
    <n v="222.90799999999999"/>
    <n v="0.05"/>
    <n v="1"/>
    <n v="1.8213567929369965"/>
    <s v="NA"/>
    <m/>
    <s v="NA"/>
    <s v="NA"/>
    <s v="NA"/>
    <s v="NA"/>
    <s v="NA"/>
    <s v="NA"/>
    <n v="1761"/>
    <n v="1761"/>
    <s v="NA"/>
    <s v="NA"/>
    <s v="NA"/>
    <s v="NA"/>
    <s v="NA"/>
    <s v="NA"/>
    <s v="NA"/>
    <s v="NA"/>
    <s v="NA"/>
    <s v="NA"/>
    <n v="1"/>
    <n v="0"/>
    <n v="1"/>
    <m/>
    <m/>
    <m/>
    <m/>
    <m/>
    <m/>
    <m/>
    <m/>
    <m/>
    <m/>
    <n v="4.336173775143707E-2"/>
    <n v="4.3388945280999909E-2"/>
    <n v="5.6817980444038869E-4"/>
    <n v="5.6882821387940839E-4"/>
    <m/>
    <m/>
    <m/>
  </r>
  <r>
    <x v="0"/>
    <m/>
    <n v="1143"/>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10"/>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3586.4569999999999"/>
    <s v="decrease"/>
    <n v="2082.6759999999999"/>
    <n v="0.05"/>
    <n v="1"/>
    <n v="1.7220426989123607"/>
    <s v="NA"/>
    <m/>
    <s v="NA"/>
    <s v="NA"/>
    <s v="NA"/>
    <s v="NA"/>
    <s v="NA"/>
    <s v="NA"/>
    <n v="1761"/>
    <n v="1761"/>
    <s v="NA"/>
    <s v="NA"/>
    <s v="NA"/>
    <s v="NA"/>
    <s v="NA"/>
    <s v="NA"/>
    <s v="NA"/>
    <s v="NA"/>
    <s v="NA"/>
    <s v="NA"/>
    <n v="1"/>
    <n v="0"/>
    <n v="1"/>
    <m/>
    <m/>
    <m/>
    <m/>
    <m/>
    <m/>
    <m/>
    <m/>
    <m/>
    <m/>
    <n v="4.1001418393220745E-2"/>
    <n v="4.1024417647402674E-2"/>
    <n v="5.6818020880763031E-4"/>
    <n v="5.6882821387940839E-4"/>
    <m/>
    <m/>
    <m/>
  </r>
  <r>
    <x v="0"/>
    <m/>
    <n v="1144"/>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4"/>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x v="1"/>
    <s v="annual electricity consumption, excluding space heating and cooling,_x000a_water heating and refrigeration."/>
    <s v="NA"/>
    <n v="212.39500000000001"/>
    <s v="increase"/>
    <n v="92.537000000000006"/>
    <n v="0.05"/>
    <n v="1"/>
    <n v="2.2952440645363477"/>
    <s v="NA"/>
    <m/>
    <s v="NA"/>
    <s v="NA"/>
    <s v="NA"/>
    <s v="NA"/>
    <s v="NA"/>
    <s v="NA"/>
    <n v="907"/>
    <n v="907"/>
    <s v="NA"/>
    <s v="NA"/>
    <s v="NA"/>
    <s v="NA"/>
    <s v="NA"/>
    <s v="NA"/>
    <s v="NA"/>
    <s v="NA"/>
    <s v="NA"/>
    <s v="NA"/>
    <n v="1"/>
    <n v="0"/>
    <n v="1"/>
    <m/>
    <m/>
    <m/>
    <m/>
    <m/>
    <m/>
    <m/>
    <m/>
    <m/>
    <m/>
    <n v="7.5991955053229768E-2"/>
    <n v="7.6138742860659789E-2"/>
    <n v="1.1037156661555521E-3"/>
    <n v="1.1061946902654867E-3"/>
    <m/>
    <m/>
    <m/>
  </r>
  <r>
    <x v="0"/>
    <m/>
    <n v="1145"/>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10"/>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
    <x v="1"/>
    <s v="annual electricity consumption, excluding space heating and cooling,_x000a_water heating and refrigeration."/>
    <s v="NA"/>
    <n v="301.86700000000002"/>
    <s v="increase"/>
    <n v="652.24300000000005"/>
    <n v="0.05"/>
    <n v="2"/>
    <n v="0.4628137059347513"/>
    <s v="NA"/>
    <m/>
    <s v="NA"/>
    <s v="NA"/>
    <s v="NA"/>
    <s v="NA"/>
    <s v="NA"/>
    <s v="NA"/>
    <n v="907"/>
    <n v="907"/>
    <s v="NA"/>
    <s v="NA"/>
    <s v="NA"/>
    <s v="NA"/>
    <s v="NA"/>
    <s v="NA"/>
    <s v="NA"/>
    <s v="NA"/>
    <s v="NA"/>
    <s v="NA"/>
    <n v="1"/>
    <n v="0"/>
    <n v="1"/>
    <m/>
    <m/>
    <m/>
    <m/>
    <m/>
    <m/>
    <m/>
    <m/>
    <m/>
    <m/>
    <n v="1.5365662610743538E-2"/>
    <n v="1.5366872078105973E-2"/>
    <n v="1.1037526978339323E-3"/>
    <n v="1.1061946902654867E-3"/>
    <m/>
    <m/>
    <m/>
  </r>
  <r>
    <x v="0"/>
    <n v="28"/>
    <n v="1116"/>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1"/>
    <n v="0"/>
    <n v="0"/>
    <n v="0"/>
    <n v="0"/>
    <n v="0"/>
    <s v="NA"/>
    <x v="0"/>
    <s v="choice of a high-efficiency appliance"/>
    <s v="dummy (0/1)"/>
    <n v="0.46400000000000002"/>
    <s v="decrease"/>
    <n v="0.27294117647058824"/>
    <s v="NA"/>
    <n v="3"/>
    <n v="1.7"/>
    <n v="0.59042297044003922"/>
    <n v="0.61396265729139654"/>
    <s v="NA"/>
    <s v="NA"/>
    <s v="NA"/>
    <s v="NA"/>
    <s v="NA"/>
    <s v="NA"/>
    <n v="163"/>
    <n v="163"/>
    <s v="NA"/>
    <s v="NA"/>
    <s v="NA"/>
    <s v="NA"/>
    <s v="current "/>
    <n v="0"/>
    <s v="NA"/>
    <n v="0"/>
    <s v="NA"/>
    <s v="NA"/>
    <n v="0"/>
    <n v="0"/>
    <n v="1"/>
    <m/>
    <m/>
    <m/>
    <m/>
    <m/>
    <m/>
    <m/>
    <m/>
    <m/>
    <m/>
    <n v="0.13198932802100058"/>
    <n v="0.13276391084197656"/>
    <n v="6.1709216981397832E-3"/>
    <n v="6.2500000000000003E-3"/>
    <s v="NA"/>
    <n v="161"/>
    <s v="NA"/>
  </r>
  <r>
    <x v="0"/>
    <n v="28"/>
    <n v="1117"/>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0"/>
    <n v="0"/>
    <n v="0"/>
    <n v="0"/>
    <n v="1"/>
    <n v="0"/>
    <s v="NA"/>
    <x v="0"/>
    <s v="choice of a high-efficiency appliance"/>
    <s v="dummy (0/1)"/>
    <n v="0.72899999999999998"/>
    <s v="decrease"/>
    <n v="0.38368421052631579"/>
    <s v="NA"/>
    <n v="3"/>
    <n v="1.9"/>
    <n v="1.0730065642609921"/>
    <n v="0.67458579111740891"/>
    <s v="NA"/>
    <s v="NA"/>
    <s v="NA"/>
    <s v="NA"/>
    <s v="NA"/>
    <s v="NA"/>
    <n v="68"/>
    <n v="68"/>
    <s v="NA"/>
    <s v="NA"/>
    <s v="NA"/>
    <s v="NA"/>
    <s v="current "/>
    <n v="0"/>
    <s v="NA"/>
    <n v="0"/>
    <s v="NA"/>
    <s v="NA"/>
    <n v="0"/>
    <n v="0"/>
    <n v="1"/>
    <m/>
    <m/>
    <m/>
    <m/>
    <m/>
    <m/>
    <m/>
    <m/>
    <m/>
    <m/>
    <n v="0.22452606449532778"/>
    <n v="0.22841739493205201"/>
    <n v="1.4884743595396476E-2"/>
    <n v="1.5384615384615385E-2"/>
    <s v="NA"/>
    <n v="66"/>
    <s v="NA"/>
  </r>
  <r>
    <x v="0"/>
    <n v="28"/>
    <n v="1115"/>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0"/>
    <n v="0"/>
    <n v="0"/>
    <n v="0"/>
    <n v="1"/>
    <n v="0"/>
    <s v="NA"/>
    <x v="0"/>
    <s v="choice of a high-efficiency appliance"/>
    <s v="dummy (0/1)"/>
    <n v="1.05"/>
    <s v="increase"/>
    <n v="0.16666666666666669"/>
    <s v="NA"/>
    <n v="3"/>
    <n v="6.3"/>
    <n v="1.8576511180631639"/>
    <n v="0.740774899182154"/>
    <s v="NA"/>
    <s v="NA"/>
    <s v="NA"/>
    <s v="NA"/>
    <s v="NA"/>
    <s v="NA"/>
    <n v="188"/>
    <n v="188"/>
    <s v="NA"/>
    <s v="NA"/>
    <s v="NA"/>
    <s v="NA"/>
    <s v="current "/>
    <n v="0"/>
    <s v="NA"/>
    <n v="0"/>
    <s v="NA"/>
    <s v="NA"/>
    <n v="0"/>
    <n v="0"/>
    <n v="1"/>
    <m/>
    <m/>
    <m/>
    <m/>
    <m/>
    <m/>
    <m/>
    <m/>
    <m/>
    <m/>
    <n v="0.41751162367646544"/>
    <n v="0.44467450263070185"/>
    <n v="5.1385064509683826E-3"/>
    <n v="5.4054054054054057E-3"/>
    <s v="NA"/>
    <n v="186"/>
    <s v="NA"/>
  </r>
  <r>
    <x v="0"/>
    <n v="28"/>
    <n v="1114"/>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1"/>
    <n v="0"/>
    <n v="0"/>
    <n v="0"/>
    <n v="0"/>
    <n v="0"/>
    <s v="NA"/>
    <x v="0"/>
    <s v="choice of a high-efficiency appliance"/>
    <s v="dummy (0/1)"/>
    <n v="1.68"/>
    <s v="increase"/>
    <n v="6.4864864864864868E-2"/>
    <s v="NA"/>
    <n v="3"/>
    <n v="25.9"/>
    <n v="4.3655559711219745"/>
    <n v="0.84290453111454722"/>
    <s v="NA"/>
    <s v="NA"/>
    <s v="NA"/>
    <s v="NA"/>
    <s v="NA"/>
    <s v="NA"/>
    <n v="400"/>
    <n v="400"/>
    <s v="NA"/>
    <s v="NA"/>
    <s v="NA"/>
    <s v="NA"/>
    <s v="current "/>
    <n v="0"/>
    <s v="NA"/>
    <n v="0"/>
    <s v="NA"/>
    <s v="NA"/>
    <n v="0"/>
    <n v="0"/>
    <n v="1"/>
    <m/>
    <m/>
    <m/>
    <m/>
    <m/>
    <m/>
    <m/>
    <m/>
    <m/>
    <m/>
    <n v="0.79148657877430995"/>
    <n v="1.0753988177746068"/>
    <n v="-8.4574447130334037E-4"/>
    <n v="2.5188916876574307E-3"/>
    <s v="NA"/>
    <n v="398"/>
    <s v="NA"/>
  </r>
  <r>
    <x v="4"/>
    <m/>
    <n v="1205"/>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27960000000000002"/>
    <s v="decrease"/>
    <n v="6.9599999999999995E-2"/>
    <n v="1E-3"/>
    <n v="1"/>
    <n v="4.0172413793103452"/>
    <s v="NA"/>
    <m/>
    <s v="NA"/>
    <s v="NA"/>
    <s v="NA"/>
    <s v="NA"/>
    <s v="NA"/>
    <s v="NA"/>
    <n v="1301"/>
    <n v="1301"/>
    <s v="NA"/>
    <s v="NA"/>
    <s v="NA"/>
    <s v="NA"/>
    <s v="NA"/>
    <n v="0"/>
    <s v="NA"/>
    <n v="0"/>
    <s v="NA"/>
    <s v="numerical"/>
    <n v="0"/>
    <n v="0"/>
    <n v="0"/>
    <m/>
    <m/>
    <m/>
    <m/>
    <m/>
    <m/>
    <m/>
    <m/>
    <m/>
    <m/>
    <n v="0.11069098448260768"/>
    <n v="0.11114641752432197"/>
    <n v="7.6911337722476367E-4"/>
    <n v="7.7041602465331282E-4"/>
    <m/>
    <m/>
    <m/>
  </r>
  <r>
    <x v="4"/>
    <m/>
    <n v="1206"/>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4.5100000000000001E-2"/>
    <s v="decrease"/>
    <n v="0.1074"/>
    <n v="0.1"/>
    <n v="2"/>
    <n v="0.41992551210428308"/>
    <s v="NA"/>
    <m/>
    <s v="NA"/>
    <s v="NA"/>
    <s v="NA"/>
    <s v="NA"/>
    <s v="NA"/>
    <s v="NA"/>
    <n v="1002"/>
    <n v="1002"/>
    <s v="NA"/>
    <s v="NA"/>
    <s v="NA"/>
    <s v="NA"/>
    <s v="NA"/>
    <n v="0"/>
    <s v="NA"/>
    <n v="0"/>
    <s v="NA"/>
    <s v="numerical"/>
    <n v="0"/>
    <n v="0"/>
    <n v="0"/>
    <m/>
    <m/>
    <m/>
    <m/>
    <m/>
    <m/>
    <m/>
    <m/>
    <m/>
    <m/>
    <n v="1.3264784180382344E-2"/>
    <n v="1.326556226201467E-2"/>
    <n v="9.9900096806468473E-4"/>
    <n v="1.001001001001001E-3"/>
    <m/>
    <m/>
    <m/>
  </r>
  <r>
    <x v="4"/>
    <m/>
    <n v="1207"/>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33500000000000002"/>
    <s v="increase"/>
    <n v="0.14960000000000001"/>
    <n v="0.05"/>
    <n v="1"/>
    <n v="2.2393048128342246"/>
    <s v="NA"/>
    <m/>
    <s v="NA"/>
    <s v="NA"/>
    <s v="NA"/>
    <s v="NA"/>
    <s v="NA"/>
    <s v="NA"/>
    <n v="326"/>
    <n v="326"/>
    <s v="NA"/>
    <s v="NA"/>
    <s v="NA"/>
    <s v="NA"/>
    <s v="NA"/>
    <n v="0"/>
    <s v="NA"/>
    <n v="0"/>
    <s v="NA"/>
    <s v="numerical"/>
    <n v="0"/>
    <n v="0"/>
    <n v="0"/>
    <m/>
    <m/>
    <m/>
    <m/>
    <m/>
    <m/>
    <m/>
    <m/>
    <m/>
    <m/>
    <n v="0.12308063083097449"/>
    <n v="0.12370785144137753"/>
    <n v="3.0762024579447773E-3"/>
    <n v="3.0959752321981426E-3"/>
    <m/>
    <m/>
    <m/>
  </r>
  <r>
    <x v="4"/>
    <m/>
    <n v="1208"/>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4017"/>
    <s v="decrease"/>
    <n v="0.35070000000000001"/>
    <n v="0.1"/>
    <n v="2"/>
    <n v="1.1454234388366125"/>
    <s v="NA"/>
    <m/>
    <s v="NA"/>
    <s v="NA"/>
    <s v="NA"/>
    <s v="NA"/>
    <s v="NA"/>
    <s v="NA"/>
    <n v="208"/>
    <n v="208"/>
    <s v="NA"/>
    <s v="NA"/>
    <s v="NA"/>
    <s v="NA"/>
    <s v="NA"/>
    <n v="0"/>
    <s v="NA"/>
    <n v="0"/>
    <s v="NA"/>
    <s v="numerical"/>
    <n v="0"/>
    <n v="0"/>
    <n v="0"/>
    <m/>
    <m/>
    <m/>
    <m/>
    <m/>
    <m/>
    <m/>
    <m/>
    <m/>
    <m/>
    <n v="7.9171524466324972E-2"/>
    <n v="7.9337568530044145E-2"/>
    <n v="4.8307264729563464E-3"/>
    <n v="4.8780487804878049E-3"/>
    <m/>
    <m/>
    <m/>
  </r>
  <r>
    <x v="0"/>
    <m/>
    <n v="1099"/>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1.0760000000000001"/>
    <s v="increase"/>
    <n v="5.3746253746253754E-2"/>
    <s v="NA"/>
    <n v="3"/>
    <n v="20.02"/>
    <s v="NA"/>
    <m/>
    <s v="NA"/>
    <s v="NA"/>
    <s v="NA"/>
    <s v="NA"/>
    <s v="NA"/>
    <s v="NA"/>
    <n v="1395"/>
    <n v="1395"/>
    <s v="NA"/>
    <s v="NA"/>
    <s v="NA"/>
    <s v="NA"/>
    <s v="NA"/>
    <s v="NA"/>
    <s v="NA"/>
    <s v="NA"/>
    <s v="NA"/>
    <s v="NA"/>
    <n v="0"/>
    <n v="1"/>
    <n v="1"/>
    <m/>
    <m/>
    <m/>
    <m/>
    <m/>
    <m/>
    <m/>
    <m/>
    <m/>
    <m/>
    <n v="0.47242735990047685"/>
    <n v="0.51319051047617226"/>
    <n v="6.6760340037102519E-4"/>
    <n v="7.1839080459770114E-4"/>
    <m/>
    <m/>
    <m/>
  </r>
  <r>
    <x v="0"/>
    <m/>
    <n v="1100"/>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2.1459999999999999"/>
    <s v="increase"/>
    <n v="0.18628472222222223"/>
    <s v="NA"/>
    <n v="3"/>
    <n v="11.52"/>
    <s v="NA"/>
    <m/>
    <s v="NA"/>
    <s v="NA"/>
    <s v="NA"/>
    <s v="NA"/>
    <s v="NA"/>
    <s v="NA"/>
    <n v="1395"/>
    <n v="1395"/>
    <s v="NA"/>
    <s v="NA"/>
    <s v="NA"/>
    <s v="NA"/>
    <s v="NA"/>
    <s v="NA"/>
    <s v="NA"/>
    <s v="NA"/>
    <s v="NA"/>
    <s v="NA"/>
    <n v="0"/>
    <n v="1"/>
    <n v="1"/>
    <m/>
    <m/>
    <m/>
    <m/>
    <m/>
    <m/>
    <m/>
    <m/>
    <m/>
    <m/>
    <n v="0.29473516954008327"/>
    <n v="0.3037440363085756"/>
    <n v="7.1125395357683058E-4"/>
    <n v="7.1839080459770114E-4"/>
    <m/>
    <m/>
    <m/>
  </r>
  <r>
    <x v="3"/>
    <m/>
    <n v="1235"/>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58.70999999999998"/>
    <s v="increase"/>
    <e v="#VALUE!"/>
    <n v="0.01"/>
    <n v="1"/>
    <s v="NA"/>
    <s v="NA"/>
    <m/>
    <s v="NA"/>
    <s v="NA"/>
    <s v="NA"/>
    <s v="NA"/>
    <s v="NA"/>
    <s v="NA"/>
    <n v="1395"/>
    <n v="19860"/>
    <s v="NA"/>
    <s v="NA"/>
    <s v="NA"/>
    <s v="NA"/>
    <s v="NA"/>
    <s v="NA"/>
    <s v="NA"/>
    <n v="1"/>
    <s v="NA"/>
    <s v="NA"/>
    <n v="0"/>
    <n v="0"/>
    <n v="0"/>
    <m/>
    <m/>
    <m/>
    <m/>
    <m/>
    <m/>
    <m/>
    <m/>
    <m/>
    <m/>
    <e v="#VALUE!"/>
    <e v="#VALUE!"/>
    <e v="#VALUE!"/>
    <n v="7.1839080459770114E-4"/>
    <e v="#VALUE!"/>
    <m/>
    <m/>
  </r>
  <r>
    <x v="3"/>
    <m/>
    <n v="1236"/>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49.82"/>
    <s v="increase"/>
    <e v="#VALUE!"/>
    <n v="0.01"/>
    <n v="1"/>
    <s v="NA"/>
    <s v="NA"/>
    <m/>
    <s v="NA"/>
    <s v="NA"/>
    <s v="NA"/>
    <s v="NA"/>
    <s v="NA"/>
    <s v="NA"/>
    <n v="1395"/>
    <n v="19860"/>
    <s v="NA"/>
    <s v="NA"/>
    <s v="NA"/>
    <s v="NA"/>
    <s v="NA"/>
    <s v="NA"/>
    <s v="NA"/>
    <n v="1"/>
    <s v="NA"/>
    <s v="NA"/>
    <n v="1"/>
    <n v="1"/>
    <n v="1"/>
    <m/>
    <m/>
    <m/>
    <m/>
    <m/>
    <m/>
    <m/>
    <m/>
    <m/>
    <m/>
    <e v="#VALUE!"/>
    <e v="#VALUE!"/>
    <e v="#VALUE!"/>
    <n v="7.1839080459770114E-4"/>
    <e v="#VALUE!"/>
    <m/>
    <m/>
  </r>
  <r>
    <x v="3"/>
    <m/>
    <n v="1237"/>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75.45"/>
    <s v="increase"/>
    <e v="#VALUE!"/>
    <n v="0.01"/>
    <n v="1"/>
    <s v="NA"/>
    <s v="NA"/>
    <m/>
    <s v="NA"/>
    <s v="NA"/>
    <s v="NA"/>
    <s v="NA"/>
    <s v="NA"/>
    <s v="NA"/>
    <n v="1395"/>
    <n v="19860"/>
    <s v="NA"/>
    <s v="NA"/>
    <s v="NA"/>
    <s v="NA"/>
    <s v="NA"/>
    <s v="NA"/>
    <s v="NA"/>
    <n v="1"/>
    <s v="NA"/>
    <s v="NA"/>
    <n v="0"/>
    <n v="0"/>
    <n v="0"/>
    <m/>
    <m/>
    <m/>
    <m/>
    <m/>
    <m/>
    <m/>
    <m/>
    <m/>
    <m/>
    <e v="#VALUE!"/>
    <e v="#VALUE!"/>
    <e v="#VALUE!"/>
    <n v="7.1839080459770114E-4"/>
    <e v="#VALUE!"/>
    <m/>
    <m/>
  </r>
  <r>
    <x v="3"/>
    <m/>
    <n v="1238"/>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349.3"/>
    <s v="increase"/>
    <e v="#VALUE!"/>
    <n v="0.05"/>
    <n v="1"/>
    <s v="NA"/>
    <s v="NA"/>
    <m/>
    <s v="NA"/>
    <s v="NA"/>
    <s v="NA"/>
    <s v="NA"/>
    <s v="NA"/>
    <s v="NA"/>
    <n v="1395"/>
    <n v="19860"/>
    <s v="NA"/>
    <s v="NA"/>
    <s v="NA"/>
    <s v="NA"/>
    <s v="NA"/>
    <s v="NA"/>
    <s v="NA"/>
    <n v="1"/>
    <s v="NA"/>
    <s v="NA"/>
    <n v="1"/>
    <n v="1"/>
    <n v="1"/>
    <m/>
    <m/>
    <m/>
    <m/>
    <m/>
    <m/>
    <m/>
    <m/>
    <m/>
    <m/>
    <e v="#VALUE!"/>
    <e v="#VALUE!"/>
    <e v="#VALUE!"/>
    <n v="7.1839080459770114E-4"/>
    <e v="#VALUE!"/>
    <m/>
    <m/>
  </r>
  <r>
    <x v="3"/>
    <m/>
    <n v="1239"/>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logit model"/>
    <s v="NA"/>
    <n v="1.0760000000000001"/>
    <s v="increase"/>
    <e v="#VALUE!"/>
    <s v="NA"/>
    <s v="NA"/>
    <n v="20.02"/>
    <s v="NA"/>
    <m/>
    <s v="NA"/>
    <s v="NA"/>
    <s v="NA"/>
    <s v="NA"/>
    <s v="NA"/>
    <s v="NA"/>
    <n v="1395"/>
    <n v="19860"/>
    <s v="NA"/>
    <s v="NA"/>
    <s v="NA"/>
    <s v="NA"/>
    <s v="NA"/>
    <s v="NA"/>
    <s v="NA"/>
    <n v="1"/>
    <s v="NA"/>
    <s v="NA"/>
    <n v="0"/>
    <n v="0"/>
    <n v="0"/>
    <m/>
    <m/>
    <m/>
    <m/>
    <m/>
    <m/>
    <m/>
    <m/>
    <m/>
    <m/>
    <n v="0.47242735990047685"/>
    <n v="0.51319051047617226"/>
    <n v="6.6760340037102519E-4"/>
    <n v="7.1839080459770114E-4"/>
    <e v="#VALUE!"/>
    <m/>
    <m/>
  </r>
  <r>
    <x v="3"/>
    <m/>
    <n v="1240"/>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random parameter logit model"/>
    <s v="NA"/>
    <n v="2.1459999999999999"/>
    <s v="increase"/>
    <e v="#VALUE!"/>
    <s v="NA"/>
    <s v="NA"/>
    <n v="11.52"/>
    <s v="NA"/>
    <m/>
    <s v="NA"/>
    <s v="NA"/>
    <s v="NA"/>
    <s v="NA"/>
    <s v="NA"/>
    <s v="NA"/>
    <n v="1395"/>
    <n v="19860"/>
    <s v="NA"/>
    <s v="NA"/>
    <s v="NA"/>
    <s v="NA"/>
    <s v="NA"/>
    <s v="NA"/>
    <s v="NA"/>
    <n v="1"/>
    <s v="NA"/>
    <s v="NA"/>
    <n v="0"/>
    <n v="0"/>
    <n v="0"/>
    <m/>
    <m/>
    <m/>
    <m/>
    <m/>
    <m/>
    <m/>
    <m/>
    <m/>
    <m/>
    <n v="0.29473516954008327"/>
    <n v="0.3037440363085756"/>
    <n v="7.1125395357683058E-4"/>
    <n v="7.1839080459770114E-4"/>
    <e v="#VALUE!"/>
    <m/>
    <m/>
  </r>
  <r>
    <x v="0"/>
    <n v="29"/>
    <n v="1057"/>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6"/>
    <s v="increase"/>
    <n v="0.06"/>
    <n v="0.05"/>
    <n v="1"/>
    <n v="2.666666666666667"/>
    <n v="0.16"/>
    <n v="0.53991488455556569"/>
    <s v="NA"/>
    <s v="NA"/>
    <s v="NA"/>
    <s v="NA"/>
    <n v="408"/>
    <s v="NA"/>
    <n v="408"/>
    <n v="408"/>
    <s v="NA"/>
    <s v="NA"/>
    <n v="1000"/>
    <s v="from 0,15 to 0,29"/>
    <s v="NA"/>
    <s v="NA"/>
    <s v="NA"/>
    <s v="NA"/>
    <s v="NA"/>
    <s v="NA"/>
    <n v="1"/>
    <n v="0"/>
    <n v="1"/>
    <m/>
    <m/>
    <m/>
    <m/>
    <m/>
    <m/>
    <m/>
    <m/>
    <m/>
    <m/>
    <n v="0.13088399820073771"/>
    <n v="0.13163914998451526"/>
    <n v="2.456264644741489E-3"/>
    <n v="2.4691358024691358E-3"/>
    <s v="NA"/>
    <n v="406"/>
    <s v="NA"/>
  </r>
  <r>
    <x v="0"/>
    <n v="29"/>
    <n v="1054"/>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9"/>
    <s v="increase"/>
    <n v="0.06"/>
    <n v="0.05"/>
    <n v="1"/>
    <n v="3.166666666666667"/>
    <n v="0.19"/>
    <n v="0.54735761814308925"/>
    <s v="NA"/>
    <s v="NA"/>
    <s v="NA"/>
    <s v="NA"/>
    <n v="408"/>
    <s v="NA"/>
    <n v="408"/>
    <n v="408"/>
    <s v="NA"/>
    <s v="NA"/>
    <n v="1000"/>
    <s v="from 0,15 to 0,29"/>
    <s v="NA"/>
    <s v="NA"/>
    <s v="NA"/>
    <s v="NA"/>
    <s v="NA"/>
    <s v="NA"/>
    <n v="0"/>
    <n v="0"/>
    <n v="0"/>
    <m/>
    <m/>
    <m/>
    <m/>
    <m/>
    <m/>
    <m/>
    <m/>
    <m/>
    <m/>
    <n v="0.15488158338148386"/>
    <n v="0.15613816847007514"/>
    <n v="2.4555421575795317E-3"/>
    <n v="2.4691358024691358E-3"/>
    <s v="NA"/>
    <n v="406"/>
    <s v="NA"/>
  </r>
  <r>
    <x v="0"/>
    <n v="29"/>
    <n v="1056"/>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5"/>
    <s v="decrease"/>
    <n v="0.13"/>
    <n v="0.1"/>
    <n v="1"/>
    <n v="1.9230769230769229"/>
    <n v="0.25"/>
    <n v="0.56217650088579807"/>
    <s v="NA"/>
    <s v="NA"/>
    <s v="NA"/>
    <s v="NA"/>
    <n v="408"/>
    <s v="NA"/>
    <n v="408"/>
    <n v="408"/>
    <s v="NA"/>
    <s v="NA"/>
    <n v="300"/>
    <s v="from 0,12 to 0,2"/>
    <s v="NA"/>
    <s v="NA"/>
    <s v="NA"/>
    <s v="NA"/>
    <s v="NA"/>
    <s v="NA"/>
    <n v="1"/>
    <n v="0"/>
    <n v="1"/>
    <m/>
    <m/>
    <m/>
    <m/>
    <m/>
    <m/>
    <m/>
    <m/>
    <m/>
    <m/>
    <n v="9.4777916885651653E-2"/>
    <n v="9.5063248374700635E-2"/>
    <n v="2.4568017991350942E-3"/>
    <n v="2.4691358024691358E-3"/>
    <s v="NA"/>
    <n v="406"/>
    <s v="NA"/>
  </r>
  <r>
    <x v="0"/>
    <n v="29"/>
    <n v="1053"/>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7"/>
    <s v="decrease"/>
    <n v="0.11"/>
    <n v="0.05"/>
    <n v="1"/>
    <n v="2.4545454545454546"/>
    <n v="0.27"/>
    <n v="0.56709290496545439"/>
    <s v="NA"/>
    <s v="NA"/>
    <s v="NA"/>
    <s v="NA"/>
    <n v="408"/>
    <s v="NA"/>
    <n v="408"/>
    <n v="408"/>
    <s v="NA"/>
    <s v="NA"/>
    <n v="300"/>
    <s v="from 0,12 to 0,2"/>
    <s v="NA"/>
    <s v="NA"/>
    <s v="NA"/>
    <s v="NA"/>
    <s v="NA"/>
    <s v="NA"/>
    <n v="0"/>
    <n v="0"/>
    <n v="0"/>
    <m/>
    <m/>
    <m/>
    <m/>
    <m/>
    <m/>
    <m/>
    <m/>
    <m/>
    <m/>
    <n v="0.12063071568651137"/>
    <n v="0.12122100832937013"/>
    <n v="2.4564719181916828E-3"/>
    <n v="2.4691358024691358E-3"/>
    <s v="NA"/>
    <n v="406"/>
    <s v="NA"/>
  </r>
  <r>
    <x v="0"/>
    <n v="29"/>
    <n v="1058"/>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1"/>
    <s v="increase"/>
    <n v="0.08"/>
    <n v="0.05"/>
    <n v="1"/>
    <n v="5.125"/>
    <n v="0.41"/>
    <n v="0.60108787884836967"/>
    <s v="NA"/>
    <s v="NA"/>
    <s v="NA"/>
    <s v="NA"/>
    <n v="504"/>
    <s v="NA"/>
    <n v="504"/>
    <n v="504"/>
    <s v="NA"/>
    <s v="NA"/>
    <n v="1000"/>
    <s v="from 0,15 to 0,29"/>
    <s v="NA"/>
    <s v="NA"/>
    <s v="NA"/>
    <s v="NA"/>
    <s v="NA"/>
    <s v="NA"/>
    <n v="1"/>
    <n v="0"/>
    <n v="1"/>
    <m/>
    <m/>
    <m/>
    <m/>
    <m/>
    <m/>
    <m/>
    <m/>
    <m/>
    <m/>
    <n v="0.22256001017320373"/>
    <n v="0.22634792532420528"/>
    <n v="1.9828531619001622E-3"/>
    <n v="1.996007984031936E-3"/>
    <s v="NA"/>
    <n v="502"/>
    <s v="NA"/>
  </r>
  <r>
    <x v="0"/>
    <n v="29"/>
    <n v="1055"/>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3"/>
    <s v="increase"/>
    <n v="0.06"/>
    <n v="0.05"/>
    <n v="1"/>
    <n v="7.166666666666667"/>
    <n v="0.43"/>
    <n v="0.6058736684317606"/>
    <s v="NA"/>
    <s v="NA"/>
    <s v="NA"/>
    <s v="NA"/>
    <n v="504"/>
    <s v="NA"/>
    <n v="504"/>
    <n v="504"/>
    <s v="NA"/>
    <s v="NA"/>
    <n v="1000"/>
    <s v="from 0,15 to 0,29"/>
    <s v="NA"/>
    <s v="NA"/>
    <s v="NA"/>
    <s v="NA"/>
    <s v="NA"/>
    <s v="NA"/>
    <n v="0"/>
    <n v="0"/>
    <n v="0"/>
    <m/>
    <m/>
    <m/>
    <m/>
    <m/>
    <m/>
    <m/>
    <m/>
    <m/>
    <m/>
    <n v="0.30410913966714348"/>
    <n v="0.31404129843807849"/>
    <n v="1.96873501693395E-3"/>
    <n v="1.996007984031936E-3"/>
    <s v="NA"/>
    <n v="502"/>
    <s v="NA"/>
  </r>
  <r>
    <x v="0"/>
    <m/>
    <s v="NA"/>
    <s v="NA"/>
    <s v="Webber, Brown, Koomey"/>
    <n v="2000"/>
    <s v="Savings estimates for the ENERGY STAR (R) voluntary labeling program"/>
    <s v="ENERGY STARt is a voluntary labeling program designed to identify and promote energy-e$cient products. Operated jointly by the_x000a_Environmental Protection Agency (EPA) and the US Department of Energy (DOE), ENERGY STAR labels exist for more than 20_x000a_products, spanning o$ce equipment, residential heating and cooling equipment, new homes, commercial and residential lighting,_x000a_home electronics, and major appliances. We present estimates of the energy, dollar and carbon savings already achieved by the_x000a_program and provide savings forecasts for several market penetration scenarios for the period 2001}2010._x000a_The target market penetration forecast represents our best estimate of future ENERGY STAR savings. It is based on realistic market_x000a_penetration goals for each of the products. We also provide a forecast under the assumption of 100% market penetration; that is, we_x000a_assume that all purchasers buy ENERGY STAR-compliant products instead of standard e$ciency products throughout the analysis_x000a_period. Finally, we assess the sensitivity of our target penetration case forecasts to greater or lesser marketing success by EPA and_x000a_DOE, lower-than-expected future energy prices, and higher or lower rates of carbon emissions by electricity generators."/>
    <m/>
    <m/>
    <x v="9"/>
    <m/>
    <x v="6"/>
    <x v="4"/>
    <x v="5"/>
    <m/>
    <m/>
    <m/>
    <m/>
    <m/>
    <m/>
    <m/>
    <m/>
    <m/>
    <m/>
    <m/>
    <m/>
    <m/>
    <m/>
    <m/>
    <m/>
    <m/>
    <m/>
    <m/>
    <m/>
    <m/>
    <m/>
    <m/>
    <m/>
    <m/>
    <m/>
    <m/>
    <m/>
    <x v="3"/>
    <m/>
    <m/>
    <m/>
    <m/>
    <m/>
    <m/>
    <m/>
    <m/>
    <m/>
    <m/>
    <m/>
    <m/>
    <m/>
    <m/>
    <m/>
    <m/>
    <m/>
    <m/>
    <m/>
    <m/>
    <m/>
    <m/>
    <m/>
    <m/>
    <m/>
    <m/>
    <m/>
    <m/>
    <m/>
    <m/>
    <m/>
    <m/>
    <m/>
    <m/>
    <m/>
    <m/>
    <m/>
    <m/>
    <m/>
    <m/>
    <m/>
    <m/>
    <m/>
    <m/>
    <m/>
    <m/>
    <m/>
    <m/>
  </r>
  <r>
    <x v="0"/>
    <n v="30"/>
    <n v="1147"/>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0"/>
    <n v="0"/>
    <n v="0"/>
    <n v="1"/>
    <n v="0"/>
    <n v="0"/>
    <n v="0"/>
    <n v="0"/>
    <n v="0"/>
    <s v="NA"/>
    <x v="0"/>
    <s v="probability of a consumer choosing an energy-efficient appliance"/>
    <s v="log scale"/>
    <n v="0.34670000000000001"/>
    <s v="increase"/>
    <n v="4.1000000000000002E-2"/>
    <n v="0.01"/>
    <n v="1"/>
    <n v="8.4560975609756088"/>
    <n v="0.41439234401320402"/>
    <n v="0.58581710943557763"/>
    <s v="NA"/>
    <s v="NA"/>
    <s v="NA"/>
    <s v="NA"/>
    <s v="NA"/>
    <s v="NA"/>
    <n v="325"/>
    <n v="5200"/>
    <s v="NA"/>
    <s v="NA"/>
    <s v="NA"/>
    <s v="NA"/>
    <s v="NA"/>
    <s v="NA"/>
    <s v="NA"/>
    <s v="NA"/>
    <s v="NA"/>
    <s v="NA"/>
    <n v="0"/>
    <n v="1"/>
    <n v="1"/>
    <m/>
    <m/>
    <m/>
    <m/>
    <m/>
    <m/>
    <m/>
    <m/>
    <m/>
    <m/>
    <n v="0.42466388635349994"/>
    <n v="0.45336839008312346"/>
    <n v="2.9560250538296882E-3"/>
    <n v="3.105590062111801E-3"/>
    <s v="NA"/>
    <n v="323"/>
    <s v="NA"/>
  </r>
  <r>
    <x v="0"/>
    <n v="30"/>
    <n v="1148"/>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1"/>
    <n v="0"/>
    <n v="0"/>
    <n v="0"/>
    <n v="0"/>
    <n v="0"/>
    <n v="0"/>
    <n v="0"/>
    <n v="0"/>
    <s v="NA"/>
    <x v="0"/>
    <s v="probability of a consumer choosing an energy-efficient appliance"/>
    <s v="log scale"/>
    <n v="0.35460000000000003"/>
    <s v="increase"/>
    <n v="4.02E-2"/>
    <n v="0.01"/>
    <n v="1"/>
    <n v="8.8208955223880601"/>
    <n v="0.42561029609900869"/>
    <n v="0.58773262069003773"/>
    <s v="NA"/>
    <s v="NA"/>
    <s v="NA"/>
    <s v="NA"/>
    <s v="NA"/>
    <s v="NA"/>
    <n v="325"/>
    <n v="5200"/>
    <s v="NA"/>
    <s v="NA"/>
    <s v="NA"/>
    <s v="NA"/>
    <s v="NA"/>
    <s v="NA"/>
    <s v="NA"/>
    <s v="NA"/>
    <s v="NA"/>
    <s v="NA"/>
    <n v="0"/>
    <n v="1"/>
    <n v="1"/>
    <m/>
    <m/>
    <m/>
    <m/>
    <m/>
    <m/>
    <m/>
    <m/>
    <m/>
    <m/>
    <n v="0.43950470421982007"/>
    <n v="0.47161676421139942"/>
    <n v="2.9337292848981796E-3"/>
    <n v="3.105590062111801E-3"/>
    <s v="NA"/>
    <n v="323"/>
    <s v="NA"/>
  </r>
  <r>
    <x v="0"/>
    <m/>
    <n v="1172"/>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05"/>
    <n v="1"/>
    <s v="NA"/>
    <s v="NA"/>
    <m/>
    <s v="NA"/>
    <s v="NA"/>
    <s v="NA"/>
    <s v="NA"/>
    <s v="NA"/>
    <s v="NA"/>
    <s v="NA"/>
    <m/>
    <s v="NA"/>
    <s v="NA"/>
    <s v="NA"/>
    <s v="NA"/>
    <s v="NA"/>
    <s v="NA"/>
    <s v="NA"/>
    <n v="0"/>
    <s v="NA"/>
    <s v="numerical"/>
    <n v="0"/>
    <n v="0"/>
    <n v="1"/>
    <m/>
    <m/>
    <m/>
    <m/>
    <m/>
    <m/>
    <m/>
    <m/>
    <m/>
    <m/>
    <e v="#VALUE!"/>
    <e v="#VALUE!"/>
    <e v="#VALUE!"/>
    <e v="#VALUE!"/>
    <m/>
    <m/>
    <m/>
  </r>
  <r>
    <x v="0"/>
    <m/>
    <n v="1173"/>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8.3000000000000004E-2"/>
    <s v="decrease"/>
    <s v="NA"/>
    <n v="0.1"/>
    <n v="1"/>
    <s v="NA"/>
    <s v="NA"/>
    <m/>
    <s v="NA"/>
    <s v="NA"/>
    <s v="NA"/>
    <s v="NA"/>
    <s v="NA"/>
    <s v="NA"/>
    <s v="NA"/>
    <m/>
    <s v="NA"/>
    <s v="NA"/>
    <s v="NA"/>
    <s v="NA"/>
    <s v="NA"/>
    <s v="NA"/>
    <s v="NA"/>
    <n v="0"/>
    <s v="NA"/>
    <s v="numerical"/>
    <n v="0"/>
    <n v="0"/>
    <n v="1"/>
    <m/>
    <m/>
    <m/>
    <m/>
    <m/>
    <m/>
    <m/>
    <m/>
    <m/>
    <m/>
    <e v="#VALUE!"/>
    <e v="#VALUE!"/>
    <e v="#VALUE!"/>
    <e v="#VALUE!"/>
    <m/>
    <m/>
    <m/>
  </r>
  <r>
    <x v="0"/>
    <m/>
    <n v="1174"/>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0.13300000000000001"/>
    <s v="decrease"/>
    <s v="NA"/>
    <n v="0.1"/>
    <n v="1"/>
    <s v="NA"/>
    <s v="NA"/>
    <m/>
    <s v="NA"/>
    <s v="NA"/>
    <s v="NA"/>
    <s v="NA"/>
    <s v="NA"/>
    <s v="NA"/>
    <s v="NA"/>
    <m/>
    <s v="NA"/>
    <s v="NA"/>
    <s v="NA"/>
    <s v="NA"/>
    <s v="NA"/>
    <s v="NA"/>
    <s v="NA"/>
    <n v="0"/>
    <s v="NA"/>
    <s v="numerical"/>
    <n v="0"/>
    <n v="0"/>
    <n v="1"/>
    <m/>
    <m/>
    <m/>
    <m/>
    <m/>
    <m/>
    <m/>
    <m/>
    <m/>
    <m/>
    <e v="#VALUE!"/>
    <e v="#VALUE!"/>
    <e v="#VALUE!"/>
    <e v="#VALUE!"/>
    <m/>
    <m/>
    <m/>
  </r>
  <r>
    <x v="0"/>
    <m/>
    <n v="1175"/>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1"/>
    <n v="2"/>
    <s v="NA"/>
    <s v="NA"/>
    <m/>
    <s v="NA"/>
    <s v="NA"/>
    <s v="NA"/>
    <s v="NA"/>
    <s v="NA"/>
    <s v="NA"/>
    <s v="NA"/>
    <m/>
    <s v="NA"/>
    <s v="NA"/>
    <s v="NA"/>
    <s v="NA"/>
    <s v="NA"/>
    <s v="NA"/>
    <s v="NA"/>
    <n v="0"/>
    <s v="NA"/>
    <s v="numerical"/>
    <n v="0"/>
    <n v="0"/>
    <n v="1"/>
    <m/>
    <m/>
    <m/>
    <m/>
    <m/>
    <m/>
    <m/>
    <m/>
    <m/>
    <m/>
    <e v="#VALUE!"/>
    <e v="#VALUE!"/>
    <e v="#VALUE!"/>
    <e v="#VALUE!"/>
    <m/>
    <m/>
    <m/>
  </r>
  <r>
    <x v="0"/>
    <m/>
    <n v="1176"/>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000000000000001"/>
    <s v="increase"/>
    <s v="NA"/>
    <n v="0.01"/>
    <n v="1"/>
    <s v="NA"/>
    <s v="NA"/>
    <m/>
    <s v="NA"/>
    <s v="NA"/>
    <s v="NA"/>
    <s v="NA"/>
    <s v="NA"/>
    <s v="NA"/>
    <s v="NA"/>
    <m/>
    <s v="NA"/>
    <s v="NA"/>
    <s v="NA"/>
    <s v="NA"/>
    <s v="NA"/>
    <s v="NA"/>
    <s v="NA"/>
    <n v="1"/>
    <s v="NA"/>
    <s v="numerical"/>
    <n v="0"/>
    <n v="0"/>
    <n v="1"/>
    <m/>
    <m/>
    <m/>
    <m/>
    <m/>
    <m/>
    <m/>
    <m/>
    <m/>
    <m/>
    <e v="#VALUE!"/>
    <e v="#VALUE!"/>
    <e v="#VALUE!"/>
    <e v="#VALUE!"/>
    <m/>
    <m/>
    <m/>
  </r>
  <r>
    <x v="0"/>
    <m/>
    <n v="1177"/>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299999999999999"/>
    <s v="increase"/>
    <s v="NA"/>
    <n v="0.01"/>
    <n v="1"/>
    <s v="NA"/>
    <s v="NA"/>
    <m/>
    <s v="NA"/>
    <s v="NA"/>
    <s v="NA"/>
    <s v="NA"/>
    <s v="NA"/>
    <s v="NA"/>
    <s v="NA"/>
    <m/>
    <s v="NA"/>
    <s v="NA"/>
    <s v="NA"/>
    <s v="NA"/>
    <s v="NA"/>
    <s v="NA"/>
    <s v="NA"/>
    <n v="1"/>
    <s v="NA"/>
    <s v="numerical"/>
    <n v="0"/>
    <n v="0"/>
    <n v="1"/>
    <m/>
    <m/>
    <m/>
    <m/>
    <m/>
    <m/>
    <m/>
    <m/>
    <m/>
    <m/>
    <e v="#VALUE!"/>
    <e v="#VALUE!"/>
    <e v="#VALUE!"/>
    <e v="#VALUE!"/>
    <m/>
    <m/>
    <m/>
  </r>
  <r>
    <x v="0"/>
    <m/>
    <n v="1178"/>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22"/>
    <s v="increase"/>
    <s v="NA"/>
    <n v="0.01"/>
    <n v="1"/>
    <s v="NA"/>
    <s v="NA"/>
    <m/>
    <s v="NA"/>
    <s v="NA"/>
    <s v="NA"/>
    <s v="NA"/>
    <s v="NA"/>
    <s v="NA"/>
    <s v="NA"/>
    <m/>
    <s v="NA"/>
    <s v="NA"/>
    <s v="NA"/>
    <s v="NA"/>
    <s v="NA"/>
    <s v="NA"/>
    <s v="NA"/>
    <n v="1"/>
    <s v="NA"/>
    <s v="numerical"/>
    <n v="0"/>
    <n v="0"/>
    <n v="1"/>
    <m/>
    <m/>
    <m/>
    <m/>
    <m/>
    <m/>
    <m/>
    <m/>
    <m/>
    <m/>
    <e v="#VALUE!"/>
    <e v="#VALUE!"/>
    <e v="#VALUE!"/>
    <e v="#VALUE!"/>
    <m/>
    <m/>
    <m/>
  </r>
  <r>
    <x v="0"/>
    <m/>
    <n v="1179"/>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1"/>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59"/>
    <s v="increase"/>
    <s v="NA"/>
    <n v="0.05"/>
    <n v="1"/>
    <s v="NA"/>
    <s v="NA"/>
    <m/>
    <s v="NA"/>
    <s v="NA"/>
    <s v="NA"/>
    <s v="NA"/>
    <s v="NA"/>
    <s v="NA"/>
    <s v="NA"/>
    <m/>
    <s v="NA"/>
    <s v="NA"/>
    <s v="NA"/>
    <s v="NA"/>
    <s v="NA"/>
    <s v="NA"/>
    <s v="NA"/>
    <n v="1"/>
    <s v="NA"/>
    <s v="numerical"/>
    <n v="0"/>
    <n v="0"/>
    <n v="1"/>
    <m/>
    <m/>
    <m/>
    <m/>
    <m/>
    <m/>
    <m/>
    <m/>
    <m/>
    <m/>
    <e v="#VALUE!"/>
    <e v="#VALUE!"/>
    <e v="#VALUE!"/>
    <e v="#VALUE!"/>
    <m/>
    <m/>
    <m/>
  </r>
  <r>
    <x v="3"/>
    <m/>
    <n v="3049"/>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154"/>
    <s v="decrease"/>
    <s v="NA"/>
    <n v="0.05"/>
    <n v="1"/>
    <s v="NA"/>
    <s v="NA"/>
    <m/>
    <s v="NA"/>
    <s v="NA"/>
    <s v="AN"/>
    <s v="NA"/>
    <s v="NA"/>
    <s v="NA"/>
    <n v="400"/>
    <n v="400"/>
    <s v="NA"/>
    <s v="NA"/>
    <s v="16-64 USD"/>
    <s v="NA"/>
    <s v="NA"/>
    <s v="NA"/>
    <s v="NA"/>
    <s v="NA"/>
    <s v="NA"/>
    <s v="NA"/>
    <n v="0"/>
    <n v="1"/>
    <n v="1"/>
    <m/>
    <m/>
    <m/>
    <m/>
    <m/>
    <m/>
    <m/>
    <m/>
    <m/>
    <m/>
    <e v="#VALUE!"/>
    <e v="#VALUE!"/>
    <e v="#VALUE!"/>
    <n v="2.5188916876574307E-3"/>
    <m/>
    <m/>
    <m/>
  </r>
  <r>
    <x v="3"/>
    <m/>
    <n v="3050"/>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28299999999999997"/>
    <s v="increase"/>
    <s v="NA"/>
    <n v="0.01"/>
    <n v="1"/>
    <s v="NA"/>
    <s v="NA"/>
    <m/>
    <s v="NA"/>
    <s v="NA"/>
    <s v="AN"/>
    <s v="NA"/>
    <s v="NA"/>
    <s v="NA"/>
    <n v="400"/>
    <n v="400"/>
    <s v="NA"/>
    <s v="NA"/>
    <s v="16-64 USD"/>
    <s v="NA"/>
    <s v="NA"/>
    <s v="NA"/>
    <s v="NA"/>
    <s v="NA"/>
    <s v="NA"/>
    <s v="NA"/>
    <n v="0"/>
    <n v="1"/>
    <n v="1"/>
    <m/>
    <m/>
    <m/>
    <m/>
    <m/>
    <m/>
    <m/>
    <m/>
    <m/>
    <m/>
    <e v="#VALUE!"/>
    <e v="#VALUE!"/>
    <e v="#VALUE!"/>
    <n v="2.5188916876574307E-3"/>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95B189-0291-5F4C-AF42-581998D9F62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J18" firstHeaderRow="0" firstDataRow="1" firstDataCol="1" rowPageCount="2" colPageCount="1"/>
  <pivotFields count="92">
    <pivotField showAll="0"/>
    <pivotField showAll="0"/>
    <pivotField dataField="1" showAll="0"/>
    <pivotField dataField="1" showAll="0"/>
    <pivotField showAll="0"/>
    <pivotField dataField="1" showAll="0"/>
    <pivotField showAll="0"/>
    <pivotField showAll="0"/>
    <pivotField showAll="0"/>
    <pivotField showAll="0"/>
    <pivotField axis="axisPage" dataField="1" multipleItemSelectionAllowed="1" showAll="0">
      <items count="17">
        <item h="1" x="8"/>
        <item h="1" x="1"/>
        <item h="1" x="11"/>
        <item x="0"/>
        <item h="1" x="10"/>
        <item h="1" x="4"/>
        <item h="1" x="13"/>
        <item h="1" x="5"/>
        <item h="1" x="6"/>
        <item h="1" x="2"/>
        <item h="1" x="9"/>
        <item h="1" x="14"/>
        <item h="1" x="7"/>
        <item h="1" x="12"/>
        <item h="1" x="3"/>
        <item h="1" x="15"/>
        <item t="default"/>
      </items>
    </pivotField>
    <pivotField showAll="0"/>
    <pivotField axis="axisRow" dataField="1" showAll="0">
      <items count="29">
        <item x="10"/>
        <item x="13"/>
        <item x="22"/>
        <item x="27"/>
        <item x="17"/>
        <item x="3"/>
        <item x="2"/>
        <item x="9"/>
        <item x="0"/>
        <item x="5"/>
        <item x="14"/>
        <item x="18"/>
        <item x="8"/>
        <item x="11"/>
        <item x="15"/>
        <item x="4"/>
        <item x="20"/>
        <item x="21"/>
        <item x="23"/>
        <item x="24"/>
        <item x="12"/>
        <item x="26"/>
        <item x="25"/>
        <item x="19"/>
        <item x="16"/>
        <item x="7"/>
        <item x="1"/>
        <item x="6"/>
        <item t="default"/>
      </items>
    </pivotField>
    <pivotField dataField="1" showAll="0">
      <items count="9">
        <item x="7"/>
        <item x="2"/>
        <item x="5"/>
        <item x="6"/>
        <item x="1"/>
        <item x="0"/>
        <item x="3"/>
        <item x="4"/>
        <item t="default"/>
      </items>
    </pivotField>
    <pivotField dataField="1" showAll="0">
      <items count="37">
        <item x="30"/>
        <item x="12"/>
        <item x="25"/>
        <item x="2"/>
        <item x="13"/>
        <item x="6"/>
        <item x="29"/>
        <item x="27"/>
        <item x="23"/>
        <item x="3"/>
        <item x="4"/>
        <item x="35"/>
        <item x="19"/>
        <item x="26"/>
        <item x="7"/>
        <item x="0"/>
        <item x="16"/>
        <item x="14"/>
        <item x="17"/>
        <item x="24"/>
        <item x="9"/>
        <item x="15"/>
        <item x="21"/>
        <item x="8"/>
        <item x="32"/>
        <item x="28"/>
        <item x="33"/>
        <item x="22"/>
        <item x="18"/>
        <item x="20"/>
        <item x="11"/>
        <item x="34"/>
        <item x="31"/>
        <item x="10"/>
        <item x="1"/>
        <item x="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axis="axisPage" dataField="1" multipleItemSelectionAllowed="1" showAll="0">
      <items count="6">
        <item h="1" x="1"/>
        <item h="1" x="4"/>
        <item x="0"/>
        <item h="1" x="2"/>
        <item h="1" x="3"/>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dataField="1"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s>
  <rowFields count="1">
    <field x="12"/>
  </rowFields>
  <rowItems count="14">
    <i>
      <x v="1"/>
    </i>
    <i>
      <x v="5"/>
    </i>
    <i>
      <x v="6"/>
    </i>
    <i>
      <x v="8"/>
    </i>
    <i>
      <x v="9"/>
    </i>
    <i>
      <x v="10"/>
    </i>
    <i>
      <x v="11"/>
    </i>
    <i>
      <x v="13"/>
    </i>
    <i>
      <x v="14"/>
    </i>
    <i>
      <x v="18"/>
    </i>
    <i>
      <x v="20"/>
    </i>
    <i>
      <x v="22"/>
    </i>
    <i>
      <x v="23"/>
    </i>
    <i t="grand">
      <x/>
    </i>
  </rowItems>
  <colFields count="1">
    <field x="-2"/>
  </colFields>
  <colItems count="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colItems>
  <pageFields count="2">
    <pageField fld="10" hier="-1"/>
    <pageField fld="43" hier="-1"/>
  </pageFields>
  <dataFields count="61">
    <dataField name="Count of sr_no" fld="2" subtotal="count" baseField="0" baseItem="0"/>
    <dataField name="Average of r_effect_size_sample2" fld="85" subtotal="average" baseField="0" baseItem="0"/>
    <dataField name="Average of r_variance2" fld="87" subtotal="average" baseField="0" baseItem="0"/>
    <dataField name="Average of z_value2" fld="86" subtotal="average" baseField="0" baseItem="0"/>
    <dataField name="Average of z_variance2" fld="88" subtotal="average" baseField="0" baseItem="0"/>
    <dataField name="Average of d_value2" fld="89" subtotal="average" baseField="0" baseItem="0"/>
    <dataField name="Count of study_ID" fld="3" subtotal="count" baseField="0" baseItem="0"/>
    <dataField name="Count of year_publication" fld="5" subtotal="count" baseField="0" baseItem="0"/>
    <dataField name="Count of exclusion_reason" fld="10" subtotal="count" baseField="0" baseItem="0"/>
    <dataField name="Count of statistical_technique" fld="12" subtotal="count" baseField="0" baseItem="0"/>
    <dataField name="Count of study_design" fld="13" subtotal="count" baseField="0" baseItem="0"/>
    <dataField name="Count of country" fld="14" subtotal="count" baseField="0" baseItem="0"/>
    <dataField name="Count of incentive_follow_through" fld="15" subtotal="count" baseField="0" baseItem="0"/>
    <dataField name="Count of experimental_setting" fld="16" subtotal="count" baseField="0" baseItem="0"/>
    <dataField name="Count of participant_type" fld="17" subtotal="count" baseField="0" baseItem="0"/>
    <dataField name="Count of aware_of_study" fld="18" subtotal="count" baseField="0" baseItem="0"/>
    <dataField name="Count of opt_in" fld="19" subtotal="count" baseField="0" baseItem="0"/>
    <dataField name="Count of randomisation_dummy" fld="20" subtotal="count" baseField="0" baseItem="0"/>
    <dataField name="Count of outOfSampleBias" fld="21" subtotal="count" baseField="0" baseItem="0"/>
    <dataField name="Count of reportingBiases" fld="22" subtotal="count" baseField="0" baseItem="0"/>
    <dataField name="Sum of feedback" fld="24" baseField="0" baseItem="0"/>
    <dataField name="Sum of information" fld="25" baseField="0" baseItem="0"/>
    <dataField name="Sum of label" fld="26" baseField="0" baseItem="0"/>
    <dataField name="Sum of rebate" fld="27" baseField="0" baseItem="0"/>
    <dataField name="Sum of tax_credit" fld="28" baseField="0" baseItem="0"/>
    <dataField name="Sum of subsidy" fld="29" baseField="0" baseItem="0"/>
    <dataField name="Sum of loan" fld="30" baseField="0" baseItem="0"/>
    <dataField name="Sum of choice_architecture" fld="31" baseField="0" baseItem="0"/>
    <dataField name="Sum of clothes_dryer" fld="34" baseField="0" baseItem="0"/>
    <dataField name="Sum of washing_machine" fld="33" baseField="0" baseItem="0"/>
    <dataField name="Sum of diswasher" fld="35" baseField="0" baseItem="0"/>
    <dataField name="Sum of refrigerator" fld="36" baseField="0" baseItem="0"/>
    <dataField name="Sum of heat_pump" fld="37" baseField="0" baseItem="0"/>
    <dataField name="Sum of lighting" fld="38" baseField="0" baseItem="0"/>
    <dataField name="Sum of water_heater" fld="39" baseField="0" baseItem="0"/>
    <dataField name="Sum of ac" fld="40" baseField="0" baseItem="0"/>
    <dataField name="Sum of tv" fld="41" baseField="0" baseItem="0"/>
    <dataField name="Count of dep_variable_purchase_category" fld="43" subtotal="count" baseField="0" baseItem="0"/>
    <dataField name="Count of dep_var_transformation" fld="45" subtotal="count" baseField="0" baseItem="0"/>
    <dataField name="Count of coefficient " fld="46" subtotal="count" baseField="0" baseItem="0"/>
    <dataField name="Count of effect_direction" fld="47" subtotal="count" baseField="0" baseItem="0"/>
    <dataField name="Count of coefficient_se" fld="48" subtotal="count" baseField="0" baseItem="0"/>
    <dataField name="Count of p_value" fld="49" subtotal="count" baseField="0" baseItem="0"/>
    <dataField name="Count of significance_bound" fld="50" subtotal="count" baseField="0" baseItem="0"/>
    <dataField name="Count of t_stat" fld="51" subtotal="count" baseField="0" baseItem="0"/>
    <dataField name="Count of percent_change" fld="52" subtotal="count" baseField="0" baseItem="0"/>
    <dataField name="Count of percent_change(binary predictor)" fld="53" subtotal="count" baseField="0" baseItem="0"/>
    <dataField name="Count of total_sample_size" fld="60" subtotal="count" baseField="0" baseItem="0"/>
    <dataField name="Count of diff_mean" fld="62" subtotal="count" baseField="0" baseItem="0"/>
    <dataField name="Count of monetary_incentive_size" fld="64" subtotal="count" baseField="0" baseItem="0"/>
    <dataField name="Count of monetary_incentive_relative" fld="65" subtotal="count" baseField="0" baseItem="0"/>
    <dataField name="Count of monetary_incentive_timeframe" fld="66" subtotal="count" baseField="0" baseItem="0"/>
    <dataField name="Count of label_monetary" fld="67" subtotal="count" baseField="0" baseItem="0"/>
    <dataField name="Count of label_consumption" fld="69" subtotal="count" baseField="0" baseItem="0"/>
    <dataField name="Count of label_scale" fld="71" subtotal="count" baseField="0" baseItem="0"/>
    <dataField name="Sum of controls energy prices" fld="72" baseField="0" baseItem="0"/>
    <dataField name="Sum of controls environmental attitudes" fld="73" baseField="0" baseItem="0"/>
    <dataField name="Sum of controls demographics" fld="74" baseField="0" baseItem="0"/>
    <dataField name="Average of df" fld="90" subtotal="average" baseField="0" baseItem="0"/>
    <dataField name="Count of study_design2" fld="13" subtotal="count" baseField="0" baseItem="0"/>
    <dataField name="Count of country2"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Q1" dT="2022-03-11T12:27:31.40" personId="{30BB1996-8EFC-476E-8528-976729F6D7F5}" id="{73C2226C-6106-4DC2-88CF-9C0A06F48311}">
    <text>is this supposed to capture mean difference between control and treatment or ?</text>
  </threadedComment>
  <threadedComment ref="AZ1" dT="2022-03-16T09:52:50.19" personId="{30BB1996-8EFC-476E-8528-976729F6D7F5}" id="{CEE78422-255C-40DC-AFED-5AA185CC03E1}" done="1">
    <text>daily kWh</text>
  </threadedComment>
  <threadedComment ref="AQ22" dT="2022-04-15T14:32:51.71" personId="{30BB1996-8EFC-476E-8528-976729F6D7F5}" id="{C7CEED71-5EFE-4791-84D8-7010C40A69F0}">
    <text>in kWh</text>
  </threadedComment>
</ThreadedComments>
</file>

<file path=xl/threadedComments/threadedComment2.xml><?xml version="1.0" encoding="utf-8"?>
<ThreadedComments xmlns="http://schemas.microsoft.com/office/spreadsheetml/2018/threadedcomments" xmlns:x="http://schemas.openxmlformats.org/spreadsheetml/2006/main">
  <threadedComment ref="AA1" dT="2022-11-21T17:36:05.27" personId="{07E012BB-865F-6142-9A86-EDCC0A8503F7}" id="{1DD52412-77C6-1E43-B8CC-07AD562D2C6E}">
    <text>check label studies from srmt for label type</text>
  </threadedComment>
  <threadedComment ref="BA13" dT="2022-12-06T15:31:30.94" personId="{4972B049-9CE6-AC49-9D28-FAEEEEB34A16}" id="{82F1C3F7-426B-1A49-BF17-3AE9A7F3075E}">
    <text>Delta = 81 - 63 percent</text>
  </threadedComment>
  <threadedComment ref="AW56" dT="2022-11-28T14:59:57.62" personId="{07E012BB-865F-6142-9A86-EDCC0A8503F7}" id="{1762D52C-C952-7F43-847B-B050969DF7F7}">
    <text>we have confidence intervals but no SE</text>
  </threadedComment>
</ThreadedComments>
</file>

<file path=xl/threadedComments/threadedComment3.xml><?xml version="1.0" encoding="utf-8"?>
<ThreadedComments xmlns="http://schemas.microsoft.com/office/spreadsheetml/2018/threadedcomments" xmlns:x="http://schemas.openxmlformats.org/spreadsheetml/2006/main">
  <threadedComment ref="D6" dT="2022-12-21T13:31:39.91" personId="{07E012BB-865F-6142-9A86-EDCC0A8503F7}" id="{CF36070F-7893-4948-8AB8-1CADF6EBBFD9}">
    <text>a bit confused as of where it’s correlation and where - quasi-experimental</text>
  </threadedComment>
  <threadedComment ref="D6" dT="2022-12-21T13:34:50.65" personId="{07E012BB-865F-6142-9A86-EDCC0A8503F7}" id="{21819F94-1C20-934A-90F0-3C08AE6D69A6}" parentId="{CF36070F-7893-4948-8AB8-1CADF6EBBFD9}">
    <text>the way i reassessed this was - market statistics - correlation, whereas hypothetical choice - quasi-experimental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3"/>
  <sheetViews>
    <sheetView zoomScale="75" workbookViewId="0">
      <pane xSplit="1" ySplit="1" topLeftCell="B29" activePane="bottomRight" state="frozen"/>
      <selection pane="topRight" activeCell="B1" sqref="B1"/>
      <selection pane="bottomLeft" activeCell="A2" sqref="A2"/>
      <selection pane="bottomRight" activeCell="A43" sqref="A43:XFD51"/>
    </sheetView>
  </sheetViews>
  <sheetFormatPr baseColWidth="10" defaultColWidth="11" defaultRowHeight="16"/>
  <cols>
    <col min="4" max="4" width="20.6640625" customWidth="1"/>
    <col min="5" max="5" width="14.1640625" customWidth="1"/>
    <col min="7" max="7" width="16.1640625" customWidth="1"/>
    <col min="8" max="8" width="16.6640625" customWidth="1"/>
    <col min="10" max="10" width="18.1640625" bestFit="1" customWidth="1"/>
    <col min="11" max="11" width="12" hidden="1" customWidth="1"/>
    <col min="12" max="17" width="0" hidden="1" customWidth="1"/>
    <col min="18" max="18" width="16" hidden="1" customWidth="1"/>
    <col min="19" max="22" width="0" hidden="1" customWidth="1"/>
    <col min="23" max="24" width="12.1640625" hidden="1" customWidth="1"/>
    <col min="25" max="25" width="0" hidden="1" customWidth="1"/>
    <col min="26" max="26" width="0" style="12" hidden="1" customWidth="1"/>
    <col min="27" max="27" width="18.6640625" hidden="1" customWidth="1"/>
    <col min="28" max="28" width="14.1640625" style="7" bestFit="1" customWidth="1"/>
    <col min="29" max="29" width="14.6640625" style="7" customWidth="1"/>
    <col min="30" max="30" width="13.6640625" customWidth="1"/>
    <col min="31" max="31" width="14.6640625" customWidth="1"/>
    <col min="32" max="32" width="13.6640625" hidden="1" customWidth="1"/>
    <col min="33" max="33" width="19.1640625" hidden="1" customWidth="1"/>
    <col min="34" max="34" width="10.6640625" hidden="1" customWidth="1"/>
    <col min="35" max="35" width="13.1640625" hidden="1" customWidth="1"/>
    <col min="36" max="36" width="22.1640625" hidden="1" customWidth="1"/>
    <col min="37" max="37" width="10.6640625" hidden="1" customWidth="1"/>
    <col min="38" max="38" width="18.1640625" customWidth="1"/>
    <col min="39" max="39" width="14.1640625" customWidth="1"/>
    <col min="40" max="40" width="9.6640625" customWidth="1"/>
    <col min="41" max="41" width="19.1640625" customWidth="1"/>
    <col min="42" max="42" width="12.1640625" customWidth="1"/>
    <col min="44" max="45" width="0" hidden="1" customWidth="1"/>
    <col min="46" max="47" width="13.1640625" hidden="1" customWidth="1"/>
    <col min="48" max="51" width="0" hidden="1" customWidth="1"/>
    <col min="52" max="52" width="13.6640625" style="17" hidden="1" customWidth="1"/>
    <col min="53" max="53" width="26.5" hidden="1" customWidth="1"/>
    <col min="54" max="54" width="20.6640625" hidden="1" customWidth="1"/>
    <col min="55" max="55" width="0" hidden="1" customWidth="1"/>
    <col min="56" max="56" width="17.6640625" hidden="1" customWidth="1"/>
    <col min="57" max="57" width="16.1640625" hidden="1" customWidth="1"/>
    <col min="58" max="58" width="15.1640625" hidden="1" customWidth="1"/>
    <col min="59" max="59" width="20.6640625" hidden="1" customWidth="1"/>
    <col min="60" max="60" width="24.6640625" hidden="1" customWidth="1"/>
    <col min="61" max="61" width="19.6640625" style="30" bestFit="1" customWidth="1"/>
    <col min="62" max="62" width="24.1640625" style="30" bestFit="1" customWidth="1"/>
    <col min="63" max="65" width="11" style="30"/>
    <col min="67" max="67" width="25.1640625" bestFit="1" customWidth="1"/>
  </cols>
  <sheetData>
    <row r="1" spans="1:68" ht="48">
      <c r="A1" s="2" t="s">
        <v>0</v>
      </c>
      <c r="B1" s="2" t="s">
        <v>1</v>
      </c>
      <c r="C1" s="2" t="s">
        <v>2</v>
      </c>
      <c r="D1" s="3" t="s">
        <v>3</v>
      </c>
      <c r="E1" s="2" t="s">
        <v>4</v>
      </c>
      <c r="F1" s="2" t="s">
        <v>5</v>
      </c>
      <c r="G1" s="5" t="s">
        <v>6</v>
      </c>
      <c r="H1" s="2" t="s">
        <v>7</v>
      </c>
      <c r="I1" s="2" t="s">
        <v>8</v>
      </c>
      <c r="J1" s="2" t="s">
        <v>9</v>
      </c>
      <c r="K1" s="2" t="s">
        <v>10</v>
      </c>
      <c r="L1" s="6" t="s">
        <v>11</v>
      </c>
      <c r="M1" s="4" t="s">
        <v>12</v>
      </c>
      <c r="N1" s="2" t="s">
        <v>13</v>
      </c>
      <c r="O1" s="2" t="s">
        <v>14</v>
      </c>
      <c r="P1" s="2" t="s">
        <v>15</v>
      </c>
      <c r="Q1" s="2" t="s">
        <v>16</v>
      </c>
      <c r="R1" s="4" t="s">
        <v>17</v>
      </c>
      <c r="S1" s="2" t="s">
        <v>18</v>
      </c>
      <c r="T1" s="2" t="s">
        <v>19</v>
      </c>
      <c r="U1" s="2" t="s">
        <v>20</v>
      </c>
      <c r="V1" s="2" t="s">
        <v>21</v>
      </c>
      <c r="W1" s="2" t="s">
        <v>22</v>
      </c>
      <c r="X1" s="2" t="s">
        <v>23</v>
      </c>
      <c r="Y1" s="2" t="s">
        <v>24</v>
      </c>
      <c r="Z1" s="13" t="s">
        <v>25</v>
      </c>
      <c r="AA1" s="5" t="s">
        <v>26</v>
      </c>
      <c r="AB1" s="2" t="s">
        <v>27</v>
      </c>
      <c r="AC1" s="2" t="s">
        <v>28</v>
      </c>
      <c r="AD1" s="3" t="s">
        <v>29</v>
      </c>
      <c r="AE1" s="1" t="s">
        <v>30</v>
      </c>
      <c r="AF1" s="1" t="s">
        <v>31</v>
      </c>
      <c r="AG1" s="1" t="s">
        <v>32</v>
      </c>
      <c r="AH1" s="1" t="s">
        <v>33</v>
      </c>
      <c r="AI1" s="1" t="s">
        <v>34</v>
      </c>
      <c r="AJ1" s="1" t="s">
        <v>35</v>
      </c>
      <c r="AK1" s="1" t="s">
        <v>36</v>
      </c>
      <c r="AL1" s="1" t="s">
        <v>37</v>
      </c>
      <c r="AM1" s="1" t="s">
        <v>38</v>
      </c>
      <c r="AN1" s="3" t="s">
        <v>39</v>
      </c>
      <c r="AO1" s="1" t="s">
        <v>40</v>
      </c>
      <c r="AP1" s="23" t="s">
        <v>41</v>
      </c>
      <c r="AQ1" s="1" t="s">
        <v>42</v>
      </c>
      <c r="AR1" s="1" t="s">
        <v>43</v>
      </c>
      <c r="AS1" s="1" t="s">
        <v>44</v>
      </c>
      <c r="AT1" s="1" t="s">
        <v>45</v>
      </c>
      <c r="AU1" s="1" t="s">
        <v>46</v>
      </c>
      <c r="AV1" s="1" t="s">
        <v>47</v>
      </c>
      <c r="AW1" s="1" t="s">
        <v>48</v>
      </c>
      <c r="AX1" s="1" t="s">
        <v>49</v>
      </c>
      <c r="AY1" s="1" t="s">
        <v>50</v>
      </c>
      <c r="AZ1" s="24" t="s">
        <v>51</v>
      </c>
      <c r="BA1" s="1" t="s">
        <v>52</v>
      </c>
      <c r="BB1" s="1" t="s">
        <v>53</v>
      </c>
      <c r="BC1" s="1" t="s">
        <v>54</v>
      </c>
      <c r="BD1" s="8" t="s">
        <v>55</v>
      </c>
      <c r="BE1" s="8" t="s">
        <v>56</v>
      </c>
      <c r="BF1" s="8" t="s">
        <v>57</v>
      </c>
      <c r="BG1" s="1" t="s">
        <v>58</v>
      </c>
      <c r="BH1" s="9" t="s">
        <v>59</v>
      </c>
      <c r="BI1" s="28" t="s">
        <v>60</v>
      </c>
      <c r="BJ1" s="28" t="s">
        <v>61</v>
      </c>
      <c r="BK1" s="29" t="s">
        <v>62</v>
      </c>
      <c r="BL1" s="30" t="s">
        <v>63</v>
      </c>
      <c r="BM1" s="30" t="s">
        <v>64</v>
      </c>
      <c r="BN1" t="s">
        <v>65</v>
      </c>
      <c r="BO1" t="s">
        <v>66</v>
      </c>
      <c r="BP1" t="s">
        <v>67</v>
      </c>
    </row>
    <row r="2" spans="1:68" hidden="1">
      <c r="A2" s="32" t="s">
        <v>68</v>
      </c>
      <c r="B2" s="32">
        <f>1</f>
        <v>1</v>
      </c>
      <c r="C2" s="32">
        <v>1000</v>
      </c>
      <c r="D2" s="32" t="s">
        <v>69</v>
      </c>
      <c r="E2" s="11" t="s">
        <v>70</v>
      </c>
      <c r="F2" s="18" t="s">
        <v>71</v>
      </c>
      <c r="G2" s="32" t="s">
        <v>72</v>
      </c>
      <c r="H2" s="32" t="s">
        <v>73</v>
      </c>
      <c r="I2" s="32" t="s">
        <v>74</v>
      </c>
      <c r="J2" s="32" t="s">
        <v>75</v>
      </c>
      <c r="K2" s="32" t="s">
        <v>76</v>
      </c>
      <c r="L2" s="32">
        <v>1</v>
      </c>
      <c r="M2" s="32">
        <v>0</v>
      </c>
      <c r="N2" s="32">
        <v>0</v>
      </c>
      <c r="O2" s="32">
        <v>1</v>
      </c>
      <c r="P2" s="32">
        <v>0</v>
      </c>
      <c r="Q2" s="32">
        <v>0</v>
      </c>
      <c r="R2" s="32">
        <v>0</v>
      </c>
      <c r="S2" s="32">
        <v>0</v>
      </c>
      <c r="T2" s="32">
        <v>0</v>
      </c>
      <c r="U2" s="32">
        <v>1</v>
      </c>
      <c r="V2" s="32">
        <v>0</v>
      </c>
      <c r="W2" s="32">
        <v>0</v>
      </c>
      <c r="X2" s="32">
        <v>0</v>
      </c>
      <c r="Y2" s="32">
        <v>0</v>
      </c>
      <c r="Z2" s="32" t="s">
        <v>77</v>
      </c>
      <c r="AA2" s="32" t="s">
        <v>78</v>
      </c>
      <c r="AB2" s="7" t="s">
        <v>79</v>
      </c>
      <c r="AC2" s="7" t="s">
        <v>80</v>
      </c>
      <c r="AD2">
        <v>2.7789999999999999</v>
      </c>
      <c r="AE2" s="35">
        <v>5.3310000000000004</v>
      </c>
      <c r="AF2" t="s">
        <v>73</v>
      </c>
      <c r="AG2">
        <v>986</v>
      </c>
      <c r="AH2" t="s">
        <v>73</v>
      </c>
      <c r="AI2" t="s">
        <v>73</v>
      </c>
      <c r="AJ2">
        <v>118</v>
      </c>
      <c r="AK2" t="s">
        <v>73</v>
      </c>
      <c r="AL2">
        <v>1102</v>
      </c>
      <c r="AM2">
        <v>490994</v>
      </c>
      <c r="AN2">
        <v>0.1</v>
      </c>
      <c r="AO2">
        <v>3</v>
      </c>
      <c r="AP2">
        <f t="shared" ref="AP2:AP9" si="0">AE2/AD2</f>
        <v>1.9183159409859665</v>
      </c>
      <c r="AQ2" t="s">
        <v>73</v>
      </c>
      <c r="AR2" t="s">
        <v>73</v>
      </c>
      <c r="AS2">
        <v>1</v>
      </c>
      <c r="AT2">
        <v>1</v>
      </c>
      <c r="AU2">
        <v>1</v>
      </c>
      <c r="AV2">
        <v>1</v>
      </c>
      <c r="AW2">
        <v>0</v>
      </c>
      <c r="AX2">
        <v>1</v>
      </c>
      <c r="AY2" t="s">
        <v>81</v>
      </c>
      <c r="AZ2">
        <v>8.4290000000000003</v>
      </c>
      <c r="BA2" s="36" t="s">
        <v>82</v>
      </c>
      <c r="BB2">
        <v>1</v>
      </c>
      <c r="BC2">
        <v>1</v>
      </c>
      <c r="BD2" t="s">
        <v>83</v>
      </c>
      <c r="BE2" t="s">
        <v>83</v>
      </c>
      <c r="BF2" t="s">
        <v>73</v>
      </c>
      <c r="BG2">
        <f t="shared" ref="BG2:BG8" si="1" xml:space="preserve"> 8 * 4.345</f>
        <v>34.76</v>
      </c>
      <c r="BH2" s="16">
        <f t="shared" ref="BH2:BH9" si="2">100 / 7</f>
        <v>14.285714285714286</v>
      </c>
      <c r="BI2" s="30">
        <f>BN2/(((BN2^2)+4)^1/2)</f>
        <v>4.5505228789443943E-3</v>
      </c>
      <c r="BJ2" s="30">
        <f>BN2/(((BN2^2)+4)^1/2)</f>
        <v>4.5505228789443943E-3</v>
      </c>
      <c r="BK2" s="30">
        <f>0.5*LN((1+BJ2)/(1-BJ2))</f>
        <v>4.5505542889525165E-3</v>
      </c>
      <c r="BL2" s="30">
        <f>((1-(BK2^2)^2)/(AL2-1))</f>
        <v>9.0826521305285878E-4</v>
      </c>
      <c r="BM2" s="30">
        <f>1/(AL2-3)</f>
        <v>9.099181073703367E-4</v>
      </c>
      <c r="BN2">
        <f>AP2*(((AG2+AJ2)/(AG2*AJ2))^1/2)</f>
        <v>9.1012342234009485E-3</v>
      </c>
      <c r="BO2" t="s">
        <v>84</v>
      </c>
    </row>
    <row r="3" spans="1:68" hidden="1">
      <c r="A3" s="32" t="s">
        <v>68</v>
      </c>
      <c r="B3" s="32">
        <f t="shared" ref="B3:B9" si="3">B2+1</f>
        <v>2</v>
      </c>
      <c r="C3" s="32">
        <v>1000</v>
      </c>
      <c r="D3" s="32" t="s">
        <v>69</v>
      </c>
      <c r="E3" s="18" t="s">
        <v>70</v>
      </c>
      <c r="F3" s="18" t="s">
        <v>71</v>
      </c>
      <c r="G3" s="32" t="s">
        <v>72</v>
      </c>
      <c r="H3" s="32" t="s">
        <v>73</v>
      </c>
      <c r="I3" s="32" t="s">
        <v>74</v>
      </c>
      <c r="J3" s="32" t="s">
        <v>75</v>
      </c>
      <c r="K3" s="32" t="s">
        <v>76</v>
      </c>
      <c r="L3" s="32">
        <v>1</v>
      </c>
      <c r="M3" s="32">
        <v>0</v>
      </c>
      <c r="N3" s="32">
        <v>0</v>
      </c>
      <c r="O3" s="32">
        <v>1</v>
      </c>
      <c r="P3" s="32">
        <v>0</v>
      </c>
      <c r="Q3" s="32">
        <v>0</v>
      </c>
      <c r="R3" s="32">
        <v>0</v>
      </c>
      <c r="S3" s="32">
        <v>0</v>
      </c>
      <c r="T3" s="32">
        <v>0</v>
      </c>
      <c r="U3" s="32">
        <v>1</v>
      </c>
      <c r="V3" s="32">
        <v>0</v>
      </c>
      <c r="W3" s="32">
        <v>0</v>
      </c>
      <c r="X3" s="32">
        <v>0</v>
      </c>
      <c r="Y3" s="32">
        <v>0</v>
      </c>
      <c r="Z3" s="32" t="s">
        <v>85</v>
      </c>
      <c r="AA3" s="32" t="s">
        <v>78</v>
      </c>
      <c r="AB3" s="7" t="s">
        <v>79</v>
      </c>
      <c r="AC3" s="7" t="s">
        <v>86</v>
      </c>
      <c r="AD3">
        <v>2.5539999999999998</v>
      </c>
      <c r="AE3">
        <v>2.5670000000000002</v>
      </c>
      <c r="AF3" t="s">
        <v>73</v>
      </c>
      <c r="AG3">
        <v>986</v>
      </c>
      <c r="AH3" t="s">
        <v>73</v>
      </c>
      <c r="AI3" t="s">
        <v>73</v>
      </c>
      <c r="AJ3">
        <v>118</v>
      </c>
      <c r="AK3" t="s">
        <v>73</v>
      </c>
      <c r="AL3">
        <v>1102</v>
      </c>
      <c r="AM3">
        <v>490994</v>
      </c>
      <c r="AN3">
        <v>0.1</v>
      </c>
      <c r="AO3">
        <v>1</v>
      </c>
      <c r="AP3">
        <f t="shared" si="0"/>
        <v>1.0050900548159751</v>
      </c>
      <c r="AQ3" t="s">
        <v>73</v>
      </c>
      <c r="AR3" t="s">
        <v>73</v>
      </c>
      <c r="AS3">
        <v>1</v>
      </c>
      <c r="AT3">
        <v>1</v>
      </c>
      <c r="AU3">
        <v>1</v>
      </c>
      <c r="AV3">
        <v>1</v>
      </c>
      <c r="AW3">
        <v>0</v>
      </c>
      <c r="AX3">
        <v>1</v>
      </c>
      <c r="AY3" t="s">
        <v>81</v>
      </c>
      <c r="AZ3">
        <v>8.4290000000000003</v>
      </c>
      <c r="BA3" s="36" t="s">
        <v>82</v>
      </c>
      <c r="BB3">
        <v>1</v>
      </c>
      <c r="BC3">
        <v>1</v>
      </c>
      <c r="BD3" t="s">
        <v>83</v>
      </c>
      <c r="BE3" t="s">
        <v>83</v>
      </c>
      <c r="BF3" t="s">
        <v>73</v>
      </c>
      <c r="BG3">
        <f t="shared" si="1"/>
        <v>34.76</v>
      </c>
      <c r="BH3" s="16">
        <f t="shared" si="2"/>
        <v>14.285714285714286</v>
      </c>
      <c r="BI3" s="30">
        <f t="shared" ref="BI3:BI9" si="4">BN3/(((BN3^2)+4)^1/2)</f>
        <v>2.3842548059692906E-3</v>
      </c>
      <c r="BJ3" s="30">
        <f>-BN3/(((BN3^2)+4)^1/2)</f>
        <v>-2.3842548059692906E-3</v>
      </c>
      <c r="BK3" s="30">
        <f>0.5*LN((1+BJ3)/(1-BJ3))</f>
        <v>-2.3842593238860717E-3</v>
      </c>
      <c r="BL3" s="30">
        <f t="shared" ref="BL3:BL9" si="5">((1-(BK3^2)^2)/(AL3-1))</f>
        <v>9.0826521341297393E-4</v>
      </c>
      <c r="BM3" s="30">
        <f t="shared" ref="BM3:BM9" si="6">1/(AL3-3)</f>
        <v>9.099181073703367E-4</v>
      </c>
      <c r="BN3">
        <f t="shared" ref="BN3:BN9" si="7">AP3*(((AG3+AJ3)/(AG3*AJ3))^1/2)</f>
        <v>4.7685367196549861E-3</v>
      </c>
      <c r="BO3" t="s">
        <v>87</v>
      </c>
    </row>
    <row r="4" spans="1:68" hidden="1">
      <c r="A4" s="32" t="s">
        <v>68</v>
      </c>
      <c r="B4" s="32">
        <f t="shared" si="3"/>
        <v>3</v>
      </c>
      <c r="C4" s="32">
        <v>1000</v>
      </c>
      <c r="D4" s="32" t="s">
        <v>69</v>
      </c>
      <c r="E4" s="18" t="s">
        <v>70</v>
      </c>
      <c r="F4" s="18" t="s">
        <v>71</v>
      </c>
      <c r="G4" s="32" t="s">
        <v>72</v>
      </c>
      <c r="H4" s="32" t="s">
        <v>73</v>
      </c>
      <c r="I4" s="32" t="s">
        <v>74</v>
      </c>
      <c r="J4" s="32" t="s">
        <v>75</v>
      </c>
      <c r="K4" s="32" t="s">
        <v>76</v>
      </c>
      <c r="L4" s="32">
        <v>1</v>
      </c>
      <c r="M4" s="32">
        <v>0</v>
      </c>
      <c r="N4" s="32">
        <v>0</v>
      </c>
      <c r="O4" s="32">
        <v>1</v>
      </c>
      <c r="P4" s="32">
        <v>0</v>
      </c>
      <c r="Q4" s="32">
        <v>0</v>
      </c>
      <c r="R4" s="32">
        <v>0</v>
      </c>
      <c r="S4" s="32">
        <v>0</v>
      </c>
      <c r="T4" s="32">
        <v>0</v>
      </c>
      <c r="U4" s="32">
        <v>0</v>
      </c>
      <c r="V4" s="32">
        <v>1</v>
      </c>
      <c r="W4" s="32">
        <v>0</v>
      </c>
      <c r="X4" s="32">
        <v>0</v>
      </c>
      <c r="Y4" s="32">
        <v>0</v>
      </c>
      <c r="Z4" s="32" t="s">
        <v>88</v>
      </c>
      <c r="AA4" s="32" t="s">
        <v>78</v>
      </c>
      <c r="AB4" s="7" t="s">
        <v>79</v>
      </c>
      <c r="AC4" s="7" t="s">
        <v>86</v>
      </c>
      <c r="AD4">
        <v>4.274</v>
      </c>
      <c r="AE4">
        <v>11.46</v>
      </c>
      <c r="AF4" t="s">
        <v>73</v>
      </c>
      <c r="AG4">
        <v>986</v>
      </c>
      <c r="AH4" t="s">
        <v>73</v>
      </c>
      <c r="AI4" t="s">
        <v>73</v>
      </c>
      <c r="AJ4">
        <v>118</v>
      </c>
      <c r="AK4" t="s">
        <v>73</v>
      </c>
      <c r="AL4">
        <v>1102</v>
      </c>
      <c r="AM4">
        <v>490994</v>
      </c>
      <c r="AN4">
        <v>0.01</v>
      </c>
      <c r="AO4">
        <v>3</v>
      </c>
      <c r="AP4">
        <f t="shared" si="0"/>
        <v>2.6813289658399628</v>
      </c>
      <c r="AQ4" t="s">
        <v>73</v>
      </c>
      <c r="AR4" t="s">
        <v>73</v>
      </c>
      <c r="AS4">
        <v>1</v>
      </c>
      <c r="AT4">
        <v>1</v>
      </c>
      <c r="AU4">
        <v>1</v>
      </c>
      <c r="AV4">
        <v>1</v>
      </c>
      <c r="AW4">
        <v>0</v>
      </c>
      <c r="AX4">
        <v>1</v>
      </c>
      <c r="AY4" t="s">
        <v>81</v>
      </c>
      <c r="AZ4">
        <v>8.4290000000000003</v>
      </c>
      <c r="BA4" s="36" t="s">
        <v>82</v>
      </c>
      <c r="BB4">
        <v>1</v>
      </c>
      <c r="BC4">
        <v>1</v>
      </c>
      <c r="BD4" t="s">
        <v>83</v>
      </c>
      <c r="BE4" t="s">
        <v>83</v>
      </c>
      <c r="BF4" t="s">
        <v>73</v>
      </c>
      <c r="BG4">
        <f t="shared" si="1"/>
        <v>34.76</v>
      </c>
      <c r="BH4" s="16">
        <f t="shared" si="2"/>
        <v>14.285714285714286</v>
      </c>
      <c r="BI4" s="30">
        <f t="shared" si="4"/>
        <v>6.3603745250294498E-3</v>
      </c>
      <c r="BJ4" s="30">
        <f>-BN4/(((BN4^2)+4)^1/2)</f>
        <v>-6.3603745250294498E-3</v>
      </c>
      <c r="BK4" s="30">
        <f t="shared" ref="BK4:BK9" si="8">0.5*LN((1+BJ4)/(1-BJ4))</f>
        <v>-6.360460295413573E-3</v>
      </c>
      <c r="BL4" s="30">
        <f t="shared" si="5"/>
        <v>9.0826521195581846E-4</v>
      </c>
      <c r="BM4" s="30">
        <f t="shared" si="6"/>
        <v>9.099181073703367E-4</v>
      </c>
      <c r="BN4">
        <f t="shared" si="7"/>
        <v>1.2721263701513214E-2</v>
      </c>
      <c r="BO4" t="s">
        <v>84</v>
      </c>
    </row>
    <row r="5" spans="1:68" hidden="1">
      <c r="A5" s="32" t="s">
        <v>68</v>
      </c>
      <c r="B5" s="32">
        <f t="shared" si="3"/>
        <v>4</v>
      </c>
      <c r="C5" s="32">
        <v>1000</v>
      </c>
      <c r="D5" s="32" t="s">
        <v>69</v>
      </c>
      <c r="E5" s="18" t="s">
        <v>70</v>
      </c>
      <c r="F5" s="18" t="s">
        <v>71</v>
      </c>
      <c r="G5" s="32" t="s">
        <v>72</v>
      </c>
      <c r="H5" s="32" t="s">
        <v>73</v>
      </c>
      <c r="I5" s="32" t="s">
        <v>74</v>
      </c>
      <c r="J5" s="32" t="s">
        <v>75</v>
      </c>
      <c r="K5" s="32" t="s">
        <v>76</v>
      </c>
      <c r="L5" s="32">
        <v>1</v>
      </c>
      <c r="M5" s="32">
        <v>0</v>
      </c>
      <c r="N5" s="32">
        <v>0</v>
      </c>
      <c r="O5" s="32">
        <v>1</v>
      </c>
      <c r="P5" s="32">
        <v>0</v>
      </c>
      <c r="Q5" s="32">
        <v>0</v>
      </c>
      <c r="R5" s="32">
        <v>0</v>
      </c>
      <c r="S5" s="32">
        <v>0</v>
      </c>
      <c r="T5" s="32">
        <v>0</v>
      </c>
      <c r="U5" s="32">
        <v>0</v>
      </c>
      <c r="V5" s="32">
        <v>1</v>
      </c>
      <c r="W5" s="32">
        <v>0</v>
      </c>
      <c r="X5" s="32">
        <v>0</v>
      </c>
      <c r="Y5" s="32">
        <v>0</v>
      </c>
      <c r="Z5" s="32" t="s">
        <v>89</v>
      </c>
      <c r="AA5" s="32" t="s">
        <v>78</v>
      </c>
      <c r="AB5" s="7" t="s">
        <v>79</v>
      </c>
      <c r="AC5" s="7" t="s">
        <v>86</v>
      </c>
      <c r="AD5">
        <v>2.3239999999999998</v>
      </c>
      <c r="AE5">
        <v>9.0109999999999992</v>
      </c>
      <c r="AF5" t="s">
        <v>73</v>
      </c>
      <c r="AG5">
        <v>986</v>
      </c>
      <c r="AH5" t="s">
        <v>73</v>
      </c>
      <c r="AI5" t="s">
        <v>73</v>
      </c>
      <c r="AJ5">
        <v>118</v>
      </c>
      <c r="AK5" t="s">
        <v>73</v>
      </c>
      <c r="AL5">
        <v>1102</v>
      </c>
      <c r="AM5">
        <v>490994</v>
      </c>
      <c r="AN5">
        <v>0.01</v>
      </c>
      <c r="AO5">
        <v>3</v>
      </c>
      <c r="AP5">
        <f t="shared" si="0"/>
        <v>3.8773666092943202</v>
      </c>
      <c r="AQ5" t="s">
        <v>73</v>
      </c>
      <c r="AR5" t="s">
        <v>73</v>
      </c>
      <c r="AS5">
        <v>1</v>
      </c>
      <c r="AT5">
        <v>1</v>
      </c>
      <c r="AU5">
        <v>1</v>
      </c>
      <c r="AV5">
        <v>1</v>
      </c>
      <c r="AW5">
        <v>0</v>
      </c>
      <c r="AX5">
        <v>1</v>
      </c>
      <c r="AY5" t="s">
        <v>81</v>
      </c>
      <c r="AZ5">
        <v>8.4290000000000003</v>
      </c>
      <c r="BA5" s="36" t="s">
        <v>82</v>
      </c>
      <c r="BB5">
        <v>1</v>
      </c>
      <c r="BC5">
        <v>1</v>
      </c>
      <c r="BD5" t="s">
        <v>83</v>
      </c>
      <c r="BE5" t="s">
        <v>83</v>
      </c>
      <c r="BF5" t="s">
        <v>73</v>
      </c>
      <c r="BG5">
        <f t="shared" si="1"/>
        <v>34.76</v>
      </c>
      <c r="BH5" s="16">
        <f t="shared" si="2"/>
        <v>14.285714285714286</v>
      </c>
      <c r="BI5" s="30">
        <f t="shared" si="4"/>
        <v>9.1970868093620775E-3</v>
      </c>
      <c r="BJ5" s="30">
        <f>-BN5/(((BN5^2)+4)^1/2)</f>
        <v>-9.1970868093620775E-3</v>
      </c>
      <c r="BK5" s="30">
        <f t="shared" si="8"/>
        <v>-9.1973461386959127E-3</v>
      </c>
      <c r="BL5" s="30">
        <f t="shared" si="5"/>
        <v>9.0826520694308171E-4</v>
      </c>
      <c r="BM5" s="30">
        <f t="shared" si="6"/>
        <v>9.099181073703367E-4</v>
      </c>
      <c r="BN5">
        <f t="shared" si="7"/>
        <v>1.8395729779028987E-2</v>
      </c>
      <c r="BO5" t="s">
        <v>84</v>
      </c>
    </row>
    <row r="6" spans="1:68" hidden="1">
      <c r="A6" s="32" t="s">
        <v>68</v>
      </c>
      <c r="B6" s="32">
        <f t="shared" si="3"/>
        <v>5</v>
      </c>
      <c r="C6" s="32">
        <v>1000</v>
      </c>
      <c r="D6" s="32" t="s">
        <v>69</v>
      </c>
      <c r="E6" s="18" t="s">
        <v>70</v>
      </c>
      <c r="F6" s="18" t="s">
        <v>71</v>
      </c>
      <c r="G6" s="32" t="s">
        <v>72</v>
      </c>
      <c r="H6" s="32" t="s">
        <v>73</v>
      </c>
      <c r="I6" s="32" t="s">
        <v>74</v>
      </c>
      <c r="J6" s="32" t="s">
        <v>75</v>
      </c>
      <c r="K6" s="32" t="s">
        <v>76</v>
      </c>
      <c r="L6" s="32">
        <v>1</v>
      </c>
      <c r="M6" s="32">
        <v>0</v>
      </c>
      <c r="N6" s="32">
        <v>0</v>
      </c>
      <c r="O6" s="32">
        <v>1</v>
      </c>
      <c r="P6" s="32">
        <v>0</v>
      </c>
      <c r="Q6" s="32">
        <v>0</v>
      </c>
      <c r="R6" s="32">
        <v>0</v>
      </c>
      <c r="S6" s="32">
        <v>0</v>
      </c>
      <c r="T6" s="32">
        <v>1</v>
      </c>
      <c r="U6" s="32">
        <v>0</v>
      </c>
      <c r="V6" s="32">
        <v>0</v>
      </c>
      <c r="W6" s="32">
        <v>0</v>
      </c>
      <c r="X6" s="32">
        <v>0</v>
      </c>
      <c r="Y6" s="32">
        <v>0</v>
      </c>
      <c r="Z6" s="32" t="s">
        <v>88</v>
      </c>
      <c r="AA6" s="32" t="s">
        <v>78</v>
      </c>
      <c r="AB6" s="7" t="s">
        <v>79</v>
      </c>
      <c r="AC6" s="7" t="s">
        <v>80</v>
      </c>
      <c r="AD6">
        <v>2.153</v>
      </c>
      <c r="AE6">
        <v>8.8439999999999994</v>
      </c>
      <c r="AF6" t="s">
        <v>73</v>
      </c>
      <c r="AG6">
        <v>986</v>
      </c>
      <c r="AH6" t="s">
        <v>73</v>
      </c>
      <c r="AI6" t="s">
        <v>73</v>
      </c>
      <c r="AJ6">
        <v>118</v>
      </c>
      <c r="AK6" t="s">
        <v>73</v>
      </c>
      <c r="AL6">
        <v>1102</v>
      </c>
      <c r="AM6">
        <v>490994</v>
      </c>
      <c r="AN6">
        <v>0.01</v>
      </c>
      <c r="AO6">
        <v>3</v>
      </c>
      <c r="AP6">
        <f t="shared" si="0"/>
        <v>4.1077566186716208</v>
      </c>
      <c r="AQ6" t="s">
        <v>73</v>
      </c>
      <c r="AR6" t="s">
        <v>73</v>
      </c>
      <c r="AS6">
        <v>1</v>
      </c>
      <c r="AT6">
        <v>1</v>
      </c>
      <c r="AU6">
        <v>1</v>
      </c>
      <c r="AV6">
        <v>1</v>
      </c>
      <c r="AW6">
        <v>0</v>
      </c>
      <c r="AX6">
        <v>1</v>
      </c>
      <c r="AY6" t="s">
        <v>81</v>
      </c>
      <c r="AZ6">
        <v>8.4290000000000003</v>
      </c>
      <c r="BA6" s="36" t="s">
        <v>82</v>
      </c>
      <c r="BB6">
        <v>1</v>
      </c>
      <c r="BC6">
        <v>1</v>
      </c>
      <c r="BD6" t="s">
        <v>83</v>
      </c>
      <c r="BE6" t="s">
        <v>83</v>
      </c>
      <c r="BF6" t="s">
        <v>73</v>
      </c>
      <c r="BG6">
        <f xml:space="preserve"> 8 * 4.345</f>
        <v>34.76</v>
      </c>
      <c r="BH6" s="16">
        <f t="shared" si="2"/>
        <v>14.285714285714286</v>
      </c>
      <c r="BI6" s="30">
        <f t="shared" si="4"/>
        <v>9.7434694590755513E-3</v>
      </c>
      <c r="BJ6" s="30">
        <f>BN6/(((BN6^2)+4)^1/2)</f>
        <v>9.7434694590755513E-3</v>
      </c>
      <c r="BK6" s="30">
        <f t="shared" si="8"/>
        <v>9.7437778093708034E-3</v>
      </c>
      <c r="BL6" s="30">
        <f t="shared" si="5"/>
        <v>9.0826520525537455E-4</v>
      </c>
      <c r="BM6" s="30">
        <f t="shared" si="6"/>
        <v>9.099181073703367E-4</v>
      </c>
      <c r="BN6">
        <f t="shared" si="7"/>
        <v>1.9488789265881105E-2</v>
      </c>
      <c r="BO6" t="s">
        <v>84</v>
      </c>
    </row>
    <row r="7" spans="1:68" hidden="1">
      <c r="A7" s="32" t="s">
        <v>68</v>
      </c>
      <c r="B7" s="32">
        <f t="shared" si="3"/>
        <v>6</v>
      </c>
      <c r="C7" s="32">
        <v>1000</v>
      </c>
      <c r="D7" s="32" t="s">
        <v>69</v>
      </c>
      <c r="E7" s="18" t="s">
        <v>70</v>
      </c>
      <c r="F7" s="18" t="s">
        <v>71</v>
      </c>
      <c r="G7" s="32" t="s">
        <v>72</v>
      </c>
      <c r="H7" s="32" t="s">
        <v>73</v>
      </c>
      <c r="I7" s="32" t="s">
        <v>74</v>
      </c>
      <c r="J7" s="32" t="s">
        <v>75</v>
      </c>
      <c r="K7" s="32" t="s">
        <v>76</v>
      </c>
      <c r="L7" s="32">
        <v>1</v>
      </c>
      <c r="M7" s="32">
        <v>0</v>
      </c>
      <c r="N7" s="32">
        <v>0</v>
      </c>
      <c r="O7" s="32">
        <v>1</v>
      </c>
      <c r="P7" s="32">
        <v>0</v>
      </c>
      <c r="Q7" s="32">
        <v>0</v>
      </c>
      <c r="R7" s="32">
        <v>0</v>
      </c>
      <c r="S7" s="32">
        <v>0</v>
      </c>
      <c r="T7" s="32">
        <v>1</v>
      </c>
      <c r="U7" s="32">
        <v>0</v>
      </c>
      <c r="V7" s="32">
        <v>0</v>
      </c>
      <c r="W7" s="32">
        <v>0</v>
      </c>
      <c r="X7" s="32">
        <v>0</v>
      </c>
      <c r="Y7" s="32">
        <v>0</v>
      </c>
      <c r="Z7" s="32" t="s">
        <v>89</v>
      </c>
      <c r="AA7" s="32" t="s">
        <v>78</v>
      </c>
      <c r="AB7" s="7" t="s">
        <v>79</v>
      </c>
      <c r="AC7" s="7" t="s">
        <v>80</v>
      </c>
      <c r="AD7">
        <v>1.9810000000000001</v>
      </c>
      <c r="AE7">
        <v>8.673</v>
      </c>
      <c r="AF7" t="s">
        <v>73</v>
      </c>
      <c r="AG7">
        <v>986</v>
      </c>
      <c r="AH7" t="s">
        <v>73</v>
      </c>
      <c r="AI7" t="s">
        <v>73</v>
      </c>
      <c r="AJ7">
        <v>118</v>
      </c>
      <c r="AK7" t="s">
        <v>73</v>
      </c>
      <c r="AL7">
        <v>1102</v>
      </c>
      <c r="AM7">
        <v>490994</v>
      </c>
      <c r="AN7">
        <v>0.01</v>
      </c>
      <c r="AO7">
        <v>3</v>
      </c>
      <c r="AP7">
        <f t="shared" si="0"/>
        <v>4.3780918727915195</v>
      </c>
      <c r="AQ7" t="s">
        <v>73</v>
      </c>
      <c r="AR7" t="s">
        <v>73</v>
      </c>
      <c r="AS7">
        <v>1</v>
      </c>
      <c r="AT7">
        <v>1</v>
      </c>
      <c r="AU7">
        <v>1</v>
      </c>
      <c r="AV7">
        <v>1</v>
      </c>
      <c r="AW7">
        <v>0</v>
      </c>
      <c r="AX7">
        <v>1</v>
      </c>
      <c r="AY7" t="s">
        <v>81</v>
      </c>
      <c r="AZ7">
        <v>8.4290000000000003</v>
      </c>
      <c r="BA7" s="36" t="s">
        <v>82</v>
      </c>
      <c r="BB7">
        <v>1</v>
      </c>
      <c r="BC7">
        <v>1</v>
      </c>
      <c r="BD7" t="s">
        <v>83</v>
      </c>
      <c r="BE7" t="s">
        <v>83</v>
      </c>
      <c r="BF7" t="s">
        <v>73</v>
      </c>
      <c r="BG7">
        <f t="shared" si="1"/>
        <v>34.76</v>
      </c>
      <c r="BH7" s="16">
        <f t="shared" si="2"/>
        <v>14.285714285714286</v>
      </c>
      <c r="BI7" s="30">
        <f t="shared" si="4"/>
        <v>1.0384562133079813E-2</v>
      </c>
      <c r="BJ7" s="30">
        <f>BN7/(((BN7^2)+4)^1/2)</f>
        <v>1.0384562133079813E-2</v>
      </c>
      <c r="BK7" s="30">
        <f t="shared" si="8"/>
        <v>1.0384935444618987E-2</v>
      </c>
      <c r="BL7" s="30">
        <f t="shared" si="5"/>
        <v>9.0826520287833751E-4</v>
      </c>
      <c r="BM7" s="30">
        <f t="shared" si="6"/>
        <v>9.099181073703367E-4</v>
      </c>
      <c r="BN7">
        <f t="shared" si="7"/>
        <v>2.0771364473655917E-2</v>
      </c>
      <c r="BO7" t="s">
        <v>84</v>
      </c>
    </row>
    <row r="8" spans="1:68" hidden="1">
      <c r="A8" s="32" t="s">
        <v>68</v>
      </c>
      <c r="B8" s="32">
        <f t="shared" si="3"/>
        <v>7</v>
      </c>
      <c r="C8" s="32">
        <v>1000</v>
      </c>
      <c r="D8" s="32" t="s">
        <v>69</v>
      </c>
      <c r="E8" s="18" t="s">
        <v>70</v>
      </c>
      <c r="F8" s="18" t="s">
        <v>71</v>
      </c>
      <c r="G8" s="32" t="s">
        <v>72</v>
      </c>
      <c r="H8" s="32" t="s">
        <v>73</v>
      </c>
      <c r="I8" s="32" t="s">
        <v>74</v>
      </c>
      <c r="J8" s="32" t="s">
        <v>75</v>
      </c>
      <c r="K8" s="32" t="s">
        <v>76</v>
      </c>
      <c r="L8" s="32">
        <v>1</v>
      </c>
      <c r="M8" s="32">
        <v>0</v>
      </c>
      <c r="N8" s="32">
        <v>0</v>
      </c>
      <c r="O8" s="32">
        <v>1</v>
      </c>
      <c r="P8" s="32">
        <v>0</v>
      </c>
      <c r="Q8" s="32">
        <v>0</v>
      </c>
      <c r="R8" s="32">
        <v>0</v>
      </c>
      <c r="S8" s="32">
        <v>1</v>
      </c>
      <c r="T8" s="32">
        <v>0</v>
      </c>
      <c r="U8" s="32">
        <v>0</v>
      </c>
      <c r="V8" s="32">
        <v>0</v>
      </c>
      <c r="W8" s="32">
        <v>0</v>
      </c>
      <c r="X8" s="32">
        <v>0</v>
      </c>
      <c r="Y8" s="32">
        <v>0</v>
      </c>
      <c r="Z8" s="32" t="s">
        <v>88</v>
      </c>
      <c r="AA8" s="32" t="s">
        <v>78</v>
      </c>
      <c r="AB8" s="7" t="s">
        <v>79</v>
      </c>
      <c r="AC8" s="7" t="s">
        <v>80</v>
      </c>
      <c r="AD8">
        <v>3.9180000000000001</v>
      </c>
      <c r="AE8">
        <v>3.26</v>
      </c>
      <c r="AF8" t="s">
        <v>73</v>
      </c>
      <c r="AG8">
        <v>986</v>
      </c>
      <c r="AH8" t="s">
        <v>73</v>
      </c>
      <c r="AI8" t="s">
        <v>73</v>
      </c>
      <c r="AJ8">
        <v>118</v>
      </c>
      <c r="AK8" t="s">
        <v>73</v>
      </c>
      <c r="AL8">
        <v>1102</v>
      </c>
      <c r="AM8">
        <v>490994</v>
      </c>
      <c r="AN8">
        <v>0.1</v>
      </c>
      <c r="AO8">
        <v>1</v>
      </c>
      <c r="AP8">
        <f t="shared" si="0"/>
        <v>0.83205717202654406</v>
      </c>
      <c r="AQ8" t="s">
        <v>73</v>
      </c>
      <c r="AR8" t="s">
        <v>73</v>
      </c>
      <c r="AS8">
        <v>1</v>
      </c>
      <c r="AT8">
        <v>1</v>
      </c>
      <c r="AU8">
        <v>1</v>
      </c>
      <c r="AV8">
        <v>1</v>
      </c>
      <c r="AW8">
        <v>0</v>
      </c>
      <c r="AX8">
        <v>1</v>
      </c>
      <c r="AY8" t="s">
        <v>81</v>
      </c>
      <c r="AZ8">
        <v>8.4290000000000003</v>
      </c>
      <c r="BA8" s="36" t="s">
        <v>82</v>
      </c>
      <c r="BB8">
        <v>1</v>
      </c>
      <c r="BC8">
        <v>1</v>
      </c>
      <c r="BD8" t="s">
        <v>83</v>
      </c>
      <c r="BE8" t="s">
        <v>83</v>
      </c>
      <c r="BF8" t="s">
        <v>73</v>
      </c>
      <c r="BG8">
        <f t="shared" si="1"/>
        <v>34.76</v>
      </c>
      <c r="BH8" s="16">
        <f t="shared" si="2"/>
        <v>14.285714285714286</v>
      </c>
      <c r="BI8" s="30">
        <f t="shared" si="4"/>
        <v>1.9737931447071306E-3</v>
      </c>
      <c r="BJ8" s="30">
        <f>BN8/(((BN8^2)+4)^1/2)</f>
        <v>1.9737931447071306E-3</v>
      </c>
      <c r="BK8" s="30">
        <f t="shared" si="8"/>
        <v>1.9737957079199297E-3</v>
      </c>
      <c r="BL8" s="30">
        <f t="shared" si="5"/>
        <v>9.0826521342853971E-4</v>
      </c>
      <c r="BM8" s="30">
        <f t="shared" si="6"/>
        <v>9.099181073703367E-4</v>
      </c>
      <c r="BN8">
        <f t="shared" si="7"/>
        <v>3.9476016687751596E-3</v>
      </c>
      <c r="BO8" t="s">
        <v>87</v>
      </c>
    </row>
    <row r="9" spans="1:68" hidden="1">
      <c r="A9" s="32" t="s">
        <v>68</v>
      </c>
      <c r="B9" s="32">
        <f t="shared" si="3"/>
        <v>8</v>
      </c>
      <c r="C9" s="32">
        <v>1000</v>
      </c>
      <c r="D9" s="32" t="s">
        <v>69</v>
      </c>
      <c r="E9" s="18" t="s">
        <v>70</v>
      </c>
      <c r="F9" s="18" t="s">
        <v>71</v>
      </c>
      <c r="G9" s="32" t="s">
        <v>72</v>
      </c>
      <c r="H9" s="32" t="s">
        <v>73</v>
      </c>
      <c r="I9" s="32" t="s">
        <v>74</v>
      </c>
      <c r="J9" s="32" t="s">
        <v>75</v>
      </c>
      <c r="K9" s="32" t="s">
        <v>76</v>
      </c>
      <c r="L9" s="32">
        <v>1</v>
      </c>
      <c r="M9" s="32">
        <v>0</v>
      </c>
      <c r="N9" s="32">
        <v>0</v>
      </c>
      <c r="O9" s="32">
        <v>1</v>
      </c>
      <c r="P9" s="32">
        <v>0</v>
      </c>
      <c r="Q9" s="32">
        <v>0</v>
      </c>
      <c r="R9" s="32">
        <v>0</v>
      </c>
      <c r="S9" s="32">
        <v>1</v>
      </c>
      <c r="T9" s="32">
        <v>0</v>
      </c>
      <c r="U9" s="32">
        <v>0</v>
      </c>
      <c r="V9" s="32">
        <v>0</v>
      </c>
      <c r="W9" s="32">
        <v>0</v>
      </c>
      <c r="X9" s="32">
        <v>0</v>
      </c>
      <c r="Y9" s="32">
        <v>0</v>
      </c>
      <c r="Z9" s="32" t="s">
        <v>89</v>
      </c>
      <c r="AA9" s="32" t="s">
        <v>78</v>
      </c>
      <c r="AB9" s="7" t="s">
        <v>79</v>
      </c>
      <c r="AC9" s="7" t="s">
        <v>86</v>
      </c>
      <c r="AD9">
        <v>2.4710000000000001</v>
      </c>
      <c r="AE9">
        <v>3.79</v>
      </c>
      <c r="AF9" t="s">
        <v>73</v>
      </c>
      <c r="AG9">
        <v>986</v>
      </c>
      <c r="AH9" t="s">
        <v>73</v>
      </c>
      <c r="AI9" t="s">
        <v>73</v>
      </c>
      <c r="AJ9">
        <v>118</v>
      </c>
      <c r="AK9" t="s">
        <v>73</v>
      </c>
      <c r="AL9">
        <v>1102</v>
      </c>
      <c r="AM9">
        <v>490994</v>
      </c>
      <c r="AN9">
        <v>0.1</v>
      </c>
      <c r="AO9">
        <v>1</v>
      </c>
      <c r="AP9">
        <f t="shared" si="0"/>
        <v>1.5337919870497774</v>
      </c>
      <c r="AQ9" t="s">
        <v>73</v>
      </c>
      <c r="AR9" t="s">
        <v>73</v>
      </c>
      <c r="AS9">
        <v>1</v>
      </c>
      <c r="AT9">
        <v>1</v>
      </c>
      <c r="AU9">
        <v>1</v>
      </c>
      <c r="AV9">
        <v>1</v>
      </c>
      <c r="AW9">
        <v>0</v>
      </c>
      <c r="AX9">
        <v>1</v>
      </c>
      <c r="AY9" t="s">
        <v>81</v>
      </c>
      <c r="AZ9">
        <v>8.4290000000000003</v>
      </c>
      <c r="BA9" s="36" t="s">
        <v>82</v>
      </c>
      <c r="BB9">
        <v>1</v>
      </c>
      <c r="BC9">
        <v>1</v>
      </c>
      <c r="BD9" t="s">
        <v>83</v>
      </c>
      <c r="BE9" t="s">
        <v>83</v>
      </c>
      <c r="BF9" t="s">
        <v>73</v>
      </c>
      <c r="BG9">
        <f xml:space="preserve"> 8 * 4.345</f>
        <v>34.76</v>
      </c>
      <c r="BH9" s="16">
        <f t="shared" si="2"/>
        <v>14.285714285714286</v>
      </c>
      <c r="BI9" s="30">
        <f t="shared" si="4"/>
        <v>3.6384036198495772E-3</v>
      </c>
      <c r="BJ9" s="30">
        <f>-BN9/(((BN9^2)+4)^1/2)</f>
        <v>-3.6384036198495772E-3</v>
      </c>
      <c r="BK9" s="30">
        <f t="shared" si="8"/>
        <v>-3.6384196750163253E-3</v>
      </c>
      <c r="BL9" s="30">
        <f t="shared" si="5"/>
        <v>9.0826521328315416E-4</v>
      </c>
      <c r="BM9" s="30">
        <f t="shared" si="6"/>
        <v>9.099181073703367E-4</v>
      </c>
      <c r="BN9">
        <f t="shared" si="7"/>
        <v>7.276903572484934E-3</v>
      </c>
      <c r="BO9" t="s">
        <v>87</v>
      </c>
    </row>
    <row r="10" spans="1:68" hidden="1">
      <c r="A10" t="s">
        <v>68</v>
      </c>
      <c r="B10">
        <v>9</v>
      </c>
      <c r="C10">
        <v>1001</v>
      </c>
      <c r="D10" t="s">
        <v>90</v>
      </c>
      <c r="E10" t="s">
        <v>91</v>
      </c>
      <c r="F10" t="s">
        <v>92</v>
      </c>
      <c r="G10">
        <v>2016</v>
      </c>
      <c r="H10" t="s">
        <v>73</v>
      </c>
      <c r="I10">
        <v>16</v>
      </c>
      <c r="J10" t="s">
        <v>93</v>
      </c>
      <c r="K10" t="s">
        <v>94</v>
      </c>
      <c r="L10">
        <v>1</v>
      </c>
      <c r="M10">
        <v>1</v>
      </c>
      <c r="N10">
        <v>0</v>
      </c>
      <c r="O10">
        <v>0</v>
      </c>
      <c r="P10">
        <v>0</v>
      </c>
      <c r="Q10">
        <v>0</v>
      </c>
      <c r="R10">
        <v>0</v>
      </c>
      <c r="S10">
        <v>0</v>
      </c>
      <c r="T10">
        <v>0</v>
      </c>
      <c r="U10">
        <v>0</v>
      </c>
      <c r="V10">
        <v>0</v>
      </c>
      <c r="W10">
        <v>0</v>
      </c>
      <c r="X10">
        <v>1</v>
      </c>
      <c r="Y10">
        <v>0</v>
      </c>
      <c r="Z10" s="12" t="s">
        <v>95</v>
      </c>
      <c r="AA10" t="s">
        <v>78</v>
      </c>
      <c r="AB10" s="16">
        <v>0.55000000000000004</v>
      </c>
      <c r="AC10" s="7" t="s">
        <v>86</v>
      </c>
      <c r="AD10" s="17">
        <v>0.21199999999999999</v>
      </c>
      <c r="AE10" t="s">
        <v>73</v>
      </c>
      <c r="AF10">
        <f>(2.52+2.46)/2</f>
        <v>2.4900000000000002</v>
      </c>
      <c r="AG10">
        <v>37</v>
      </c>
      <c r="AH10" s="17">
        <v>2.4500000000000002</v>
      </c>
      <c r="AI10" t="s">
        <v>73</v>
      </c>
      <c r="AJ10">
        <v>76</v>
      </c>
      <c r="AK10" t="s">
        <v>73</v>
      </c>
      <c r="AL10">
        <v>389</v>
      </c>
      <c r="AM10">
        <v>389</v>
      </c>
      <c r="AN10">
        <v>0.05</v>
      </c>
      <c r="AO10">
        <v>3</v>
      </c>
      <c r="AP10">
        <f>AB10/AD10</f>
        <v>2.5943396226415096</v>
      </c>
      <c r="AQ10" t="s">
        <v>73</v>
      </c>
      <c r="AR10" s="17">
        <v>0.16800000000000001</v>
      </c>
      <c r="AS10">
        <v>1</v>
      </c>
      <c r="AT10">
        <v>0</v>
      </c>
      <c r="AU10">
        <v>1</v>
      </c>
      <c r="AV10">
        <v>1</v>
      </c>
      <c r="AW10">
        <v>1</v>
      </c>
      <c r="AX10">
        <v>0</v>
      </c>
      <c r="AY10" t="s">
        <v>96</v>
      </c>
      <c r="AZ10" s="17">
        <v>2.31</v>
      </c>
      <c r="BA10" t="s">
        <v>73</v>
      </c>
      <c r="BB10">
        <v>1</v>
      </c>
      <c r="BC10">
        <v>1</v>
      </c>
      <c r="BD10" t="s">
        <v>83</v>
      </c>
      <c r="BE10" t="s">
        <v>83</v>
      </c>
      <c r="BF10" t="s">
        <v>73</v>
      </c>
      <c r="BG10">
        <v>14</v>
      </c>
      <c r="BH10">
        <v>7</v>
      </c>
      <c r="BI10" s="30">
        <f>(((AP10^2)/(AP10^2+AL10))^1/2)</f>
        <v>8.5040152445929103E-3</v>
      </c>
      <c r="BJ10" s="30">
        <f>-(((AP10^2)/(AP10^2+AM10))^1/2)</f>
        <v>-8.5040152445929103E-3</v>
      </c>
      <c r="BK10" s="30">
        <f>0.5*LN((1+BJ10)/(1-BJ10))</f>
        <v>-8.5042202520602649E-3</v>
      </c>
      <c r="BL10" s="30">
        <f>((1-(BK10^2)^2)/(AL10-1))</f>
        <v>2.5773195741483576E-3</v>
      </c>
      <c r="BM10" s="30">
        <f>1/(AL10-3)</f>
        <v>2.5906735751295338E-3</v>
      </c>
      <c r="BO10" t="s">
        <v>84</v>
      </c>
    </row>
    <row r="11" spans="1:68" hidden="1">
      <c r="A11" t="s">
        <v>68</v>
      </c>
      <c r="B11">
        <f>B10+1</f>
        <v>10</v>
      </c>
      <c r="C11">
        <v>1001</v>
      </c>
      <c r="D11" t="s">
        <v>90</v>
      </c>
      <c r="E11" t="s">
        <v>91</v>
      </c>
      <c r="F11" t="s">
        <v>92</v>
      </c>
      <c r="G11">
        <v>2016</v>
      </c>
      <c r="H11" t="s">
        <v>73</v>
      </c>
      <c r="I11">
        <v>16</v>
      </c>
      <c r="J11" t="s">
        <v>93</v>
      </c>
      <c r="K11" t="s">
        <v>94</v>
      </c>
      <c r="L11">
        <v>1</v>
      </c>
      <c r="M11">
        <v>1</v>
      </c>
      <c r="N11">
        <v>0</v>
      </c>
      <c r="O11">
        <v>0</v>
      </c>
      <c r="P11">
        <v>0</v>
      </c>
      <c r="Q11">
        <v>0</v>
      </c>
      <c r="R11">
        <v>0</v>
      </c>
      <c r="S11">
        <v>0</v>
      </c>
      <c r="T11">
        <v>0</v>
      </c>
      <c r="U11">
        <v>0</v>
      </c>
      <c r="V11">
        <v>0</v>
      </c>
      <c r="W11">
        <v>0</v>
      </c>
      <c r="X11">
        <v>1</v>
      </c>
      <c r="Y11">
        <v>0</v>
      </c>
      <c r="Z11" s="12" t="s">
        <v>97</v>
      </c>
      <c r="AA11" t="s">
        <v>78</v>
      </c>
      <c r="AB11" s="16">
        <v>0.17</v>
      </c>
      <c r="AC11" s="7" t="s">
        <v>86</v>
      </c>
      <c r="AD11" s="17">
        <v>0.183</v>
      </c>
      <c r="AE11" t="s">
        <v>73</v>
      </c>
      <c r="AF11">
        <f>(2.52+2.46)/2</f>
        <v>2.4900000000000002</v>
      </c>
      <c r="AG11">
        <v>37</v>
      </c>
      <c r="AH11" s="17">
        <v>2.4500000000000002</v>
      </c>
      <c r="AI11" t="s">
        <v>73</v>
      </c>
      <c r="AJ11">
        <v>138</v>
      </c>
      <c r="AK11" t="s">
        <v>73</v>
      </c>
      <c r="AL11">
        <v>389</v>
      </c>
      <c r="AM11">
        <v>389</v>
      </c>
      <c r="AN11">
        <v>0.1</v>
      </c>
      <c r="AO11" s="17">
        <v>1</v>
      </c>
      <c r="AP11">
        <f>AB11/AD11</f>
        <v>0.92896174863387981</v>
      </c>
      <c r="AQ11" t="s">
        <v>73</v>
      </c>
      <c r="AR11" s="17">
        <v>0.16800000000000001</v>
      </c>
      <c r="AS11">
        <v>1</v>
      </c>
      <c r="AT11">
        <v>0</v>
      </c>
      <c r="AU11">
        <v>1</v>
      </c>
      <c r="AV11">
        <v>1</v>
      </c>
      <c r="AW11">
        <v>1</v>
      </c>
      <c r="AX11">
        <v>0</v>
      </c>
      <c r="AY11" t="s">
        <v>96</v>
      </c>
      <c r="AZ11" s="17">
        <v>2.31</v>
      </c>
      <c r="BA11" t="s">
        <v>73</v>
      </c>
      <c r="BB11">
        <v>1</v>
      </c>
      <c r="BC11">
        <v>1</v>
      </c>
      <c r="BD11" t="s">
        <v>83</v>
      </c>
      <c r="BE11" t="s">
        <v>83</v>
      </c>
      <c r="BF11" t="s">
        <v>73</v>
      </c>
      <c r="BG11">
        <v>14</v>
      </c>
      <c r="BH11">
        <v>7</v>
      </c>
      <c r="BI11" s="30">
        <f>(((AP11^2)/(AP11^2+AL11))^1/2)</f>
        <v>1.1067605761313026E-3</v>
      </c>
      <c r="BJ11" s="30">
        <f>-(((AP11^2)/(AP11^2+AM11))^1/2)</f>
        <v>-1.1067605761313026E-3</v>
      </c>
      <c r="BK11" s="30">
        <f t="shared" ref="BK11:BK42" si="9">0.5*LN((1+BJ11)/(1-BJ11))</f>
        <v>-1.1067610280289801E-3</v>
      </c>
      <c r="BL11" s="30">
        <f t="shared" ref="BL11:BL40" si="10">((1-(BK11^2)^2)/(AL11-1))</f>
        <v>2.5773195876249988E-3</v>
      </c>
      <c r="BM11" s="30">
        <f t="shared" ref="BM11:BM40" si="11">1/(AL11-3)</f>
        <v>2.5906735751295338E-3</v>
      </c>
      <c r="BO11" t="s">
        <v>87</v>
      </c>
    </row>
    <row r="12" spans="1:68" hidden="1">
      <c r="A12" t="s">
        <v>68</v>
      </c>
      <c r="B12">
        <f>B11+1</f>
        <v>11</v>
      </c>
      <c r="C12">
        <v>1001</v>
      </c>
      <c r="D12" t="s">
        <v>90</v>
      </c>
      <c r="E12" t="s">
        <v>91</v>
      </c>
      <c r="F12" t="s">
        <v>92</v>
      </c>
      <c r="G12">
        <v>2016</v>
      </c>
      <c r="H12" t="s">
        <v>73</v>
      </c>
      <c r="I12">
        <v>16</v>
      </c>
      <c r="J12" t="s">
        <v>93</v>
      </c>
      <c r="K12" t="s">
        <v>94</v>
      </c>
      <c r="L12">
        <v>1</v>
      </c>
      <c r="M12">
        <v>1</v>
      </c>
      <c r="N12">
        <v>0</v>
      </c>
      <c r="O12">
        <v>0</v>
      </c>
      <c r="P12">
        <v>0</v>
      </c>
      <c r="Q12">
        <v>0</v>
      </c>
      <c r="R12">
        <v>0</v>
      </c>
      <c r="S12">
        <v>0</v>
      </c>
      <c r="T12">
        <v>0</v>
      </c>
      <c r="U12">
        <v>0</v>
      </c>
      <c r="V12">
        <v>0</v>
      </c>
      <c r="W12">
        <v>0</v>
      </c>
      <c r="X12">
        <v>1</v>
      </c>
      <c r="Y12">
        <v>0</v>
      </c>
      <c r="Z12" s="12" t="s">
        <v>98</v>
      </c>
      <c r="AA12" t="s">
        <v>78</v>
      </c>
      <c r="AB12">
        <v>0.41899999999999998</v>
      </c>
      <c r="AC12" s="7" t="s">
        <v>86</v>
      </c>
      <c r="AD12" s="17">
        <v>0.215</v>
      </c>
      <c r="AE12" t="s">
        <v>73</v>
      </c>
      <c r="AF12">
        <f>(2.52+2.46)/2</f>
        <v>2.4900000000000002</v>
      </c>
      <c r="AG12">
        <v>37</v>
      </c>
      <c r="AH12" s="17">
        <v>2.4500000000000002</v>
      </c>
      <c r="AI12" t="s">
        <v>73</v>
      </c>
      <c r="AJ12">
        <v>138</v>
      </c>
      <c r="AK12" t="s">
        <v>73</v>
      </c>
      <c r="AL12">
        <v>389</v>
      </c>
      <c r="AM12">
        <v>389</v>
      </c>
      <c r="AN12">
        <v>0.1</v>
      </c>
      <c r="AO12">
        <v>3</v>
      </c>
      <c r="AP12">
        <f>AB12/AD12</f>
        <v>1.9488372093023256</v>
      </c>
      <c r="AQ12" t="s">
        <v>73</v>
      </c>
      <c r="AR12" s="17">
        <v>0.16800000000000001</v>
      </c>
      <c r="AS12">
        <v>1</v>
      </c>
      <c r="AT12">
        <v>0</v>
      </c>
      <c r="AU12">
        <v>1</v>
      </c>
      <c r="AV12">
        <v>1</v>
      </c>
      <c r="AW12">
        <v>1</v>
      </c>
      <c r="AX12">
        <v>0</v>
      </c>
      <c r="AY12" t="s">
        <v>96</v>
      </c>
      <c r="AZ12" s="17">
        <v>2.31</v>
      </c>
      <c r="BA12" t="s">
        <v>73</v>
      </c>
      <c r="BB12">
        <v>1</v>
      </c>
      <c r="BC12">
        <v>1</v>
      </c>
      <c r="BD12" t="s">
        <v>83</v>
      </c>
      <c r="BE12" t="s">
        <v>83</v>
      </c>
      <c r="BF12" t="s">
        <v>73</v>
      </c>
      <c r="BG12">
        <v>14</v>
      </c>
      <c r="BH12">
        <v>7</v>
      </c>
      <c r="BI12" s="30">
        <f>(((AP12^2)/(AP12^2+AL12))^1/2)</f>
        <v>4.8345037303893371E-3</v>
      </c>
      <c r="BJ12" s="30">
        <f>- (((AP12^2)/(AP12^2+AM12))^1/2)</f>
        <v>-4.8345037303893371E-3</v>
      </c>
      <c r="BK12" s="30">
        <f t="shared" si="9"/>
        <v>-4.8345413956116306E-3</v>
      </c>
      <c r="BL12" s="30">
        <f t="shared" si="10"/>
        <v>2.5773195862209088E-3</v>
      </c>
      <c r="BM12" s="30">
        <f t="shared" si="11"/>
        <v>2.5906735751295338E-3</v>
      </c>
      <c r="BO12" t="s">
        <v>84</v>
      </c>
    </row>
    <row r="13" spans="1:68" hidden="1">
      <c r="A13" t="s">
        <v>68</v>
      </c>
      <c r="B13">
        <v>12</v>
      </c>
      <c r="C13">
        <v>1002</v>
      </c>
      <c r="D13" t="s">
        <v>99</v>
      </c>
      <c r="E13" t="s">
        <v>100</v>
      </c>
      <c r="F13" t="s">
        <v>101</v>
      </c>
      <c r="G13" t="s">
        <v>102</v>
      </c>
      <c r="H13" t="s">
        <v>73</v>
      </c>
      <c r="I13">
        <v>37</v>
      </c>
      <c r="J13" t="s">
        <v>93</v>
      </c>
      <c r="K13" t="s">
        <v>76</v>
      </c>
      <c r="L13">
        <v>1</v>
      </c>
      <c r="M13">
        <v>1</v>
      </c>
      <c r="N13">
        <v>0</v>
      </c>
      <c r="O13">
        <v>0</v>
      </c>
      <c r="P13">
        <v>0</v>
      </c>
      <c r="Q13">
        <v>0</v>
      </c>
      <c r="R13">
        <v>0</v>
      </c>
      <c r="S13">
        <v>0</v>
      </c>
      <c r="T13">
        <v>0</v>
      </c>
      <c r="U13">
        <v>0</v>
      </c>
      <c r="V13">
        <v>1</v>
      </c>
      <c r="W13">
        <v>0</v>
      </c>
      <c r="X13">
        <v>0</v>
      </c>
      <c r="Y13">
        <v>0</v>
      </c>
      <c r="Z13" t="s">
        <v>103</v>
      </c>
      <c r="AA13" t="s">
        <v>78</v>
      </c>
      <c r="AB13" t="s">
        <v>73</v>
      </c>
      <c r="AC13" s="7" t="s">
        <v>86</v>
      </c>
      <c r="AD13" t="s">
        <v>73</v>
      </c>
      <c r="AE13">
        <v>20</v>
      </c>
      <c r="AF13" t="s">
        <v>73</v>
      </c>
      <c r="AG13" t="s">
        <v>73</v>
      </c>
      <c r="AH13" t="s">
        <v>73</v>
      </c>
      <c r="AI13" t="s">
        <v>73</v>
      </c>
      <c r="AJ13" t="s">
        <v>73</v>
      </c>
      <c r="AK13" t="s">
        <v>73</v>
      </c>
      <c r="AL13">
        <v>102</v>
      </c>
      <c r="AM13">
        <f>7120+1879</f>
        <v>8999</v>
      </c>
      <c r="AN13">
        <v>0.1</v>
      </c>
      <c r="AO13">
        <v>2</v>
      </c>
      <c r="AP13">
        <v>1.6598999999999999</v>
      </c>
      <c r="AQ13" t="s">
        <v>73</v>
      </c>
      <c r="AR13" t="s">
        <v>73</v>
      </c>
      <c r="AS13">
        <v>1</v>
      </c>
      <c r="AT13">
        <v>1</v>
      </c>
      <c r="AU13">
        <v>1</v>
      </c>
      <c r="AV13">
        <v>1</v>
      </c>
      <c r="AW13">
        <v>0</v>
      </c>
      <c r="AX13">
        <v>1</v>
      </c>
      <c r="AY13" t="s">
        <v>81</v>
      </c>
      <c r="AZ13">
        <v>0.28837000000000002</v>
      </c>
      <c r="BA13" t="s">
        <v>73</v>
      </c>
      <c r="BB13">
        <v>1</v>
      </c>
      <c r="BC13">
        <v>1</v>
      </c>
      <c r="BD13" t="s">
        <v>83</v>
      </c>
      <c r="BE13" t="s">
        <v>83</v>
      </c>
      <c r="BF13" t="s">
        <v>73</v>
      </c>
      <c r="BG13" s="31">
        <v>52.143000000000001</v>
      </c>
      <c r="BH13">
        <v>5</v>
      </c>
      <c r="BI13" s="30">
        <f>(((AP13^2)/(AP13^2+AL13))^1/2)</f>
        <v>1.3150975900023379E-2</v>
      </c>
      <c r="BJ13" s="30">
        <f>- (((AP13^2)/(AP13^2+AM13))^1/2)</f>
        <v>-1.5304059752610345E-4</v>
      </c>
      <c r="BK13" s="30">
        <f t="shared" si="9"/>
        <v>-1.5304059872088668E-4</v>
      </c>
      <c r="BL13" s="30">
        <f t="shared" si="10"/>
        <v>9.9009900990098959E-3</v>
      </c>
      <c r="BM13" s="30">
        <f t="shared" si="11"/>
        <v>1.0101010101010102E-2</v>
      </c>
    </row>
    <row r="14" spans="1:68" hidden="1">
      <c r="A14" t="s">
        <v>68</v>
      </c>
      <c r="B14">
        <v>13</v>
      </c>
      <c r="C14">
        <v>1002</v>
      </c>
      <c r="D14" t="s">
        <v>99</v>
      </c>
      <c r="E14" t="s">
        <v>100</v>
      </c>
      <c r="F14" t="s">
        <v>101</v>
      </c>
      <c r="G14" t="s">
        <v>102</v>
      </c>
      <c r="H14" t="s">
        <v>73</v>
      </c>
      <c r="I14">
        <v>37</v>
      </c>
      <c r="J14" t="s">
        <v>93</v>
      </c>
      <c r="K14" t="s">
        <v>76</v>
      </c>
      <c r="L14">
        <v>1</v>
      </c>
      <c r="M14">
        <v>1</v>
      </c>
      <c r="N14">
        <v>0</v>
      </c>
      <c r="O14">
        <v>0</v>
      </c>
      <c r="P14">
        <v>0</v>
      </c>
      <c r="Q14">
        <v>0</v>
      </c>
      <c r="R14">
        <v>0</v>
      </c>
      <c r="S14">
        <v>0</v>
      </c>
      <c r="T14">
        <v>0</v>
      </c>
      <c r="U14">
        <v>0</v>
      </c>
      <c r="V14">
        <v>1</v>
      </c>
      <c r="W14">
        <v>0</v>
      </c>
      <c r="X14">
        <v>0</v>
      </c>
      <c r="Y14">
        <v>0</v>
      </c>
      <c r="Z14" t="s">
        <v>104</v>
      </c>
      <c r="AA14" t="s">
        <v>78</v>
      </c>
      <c r="AB14" t="s">
        <v>73</v>
      </c>
      <c r="AC14" s="7" t="s">
        <v>86</v>
      </c>
      <c r="AD14" t="s">
        <v>73</v>
      </c>
      <c r="AE14">
        <v>5</v>
      </c>
      <c r="AF14" t="s">
        <v>73</v>
      </c>
      <c r="AG14" t="s">
        <v>73</v>
      </c>
      <c r="AH14" t="s">
        <v>73</v>
      </c>
      <c r="AI14" t="s">
        <v>73</v>
      </c>
      <c r="AJ14" t="s">
        <v>73</v>
      </c>
      <c r="AK14" t="s">
        <v>73</v>
      </c>
      <c r="AL14">
        <v>102</v>
      </c>
      <c r="AM14">
        <f>7120+1879</f>
        <v>8999</v>
      </c>
      <c r="AN14">
        <v>0.1</v>
      </c>
      <c r="AO14">
        <v>1</v>
      </c>
      <c r="AP14" t="s">
        <v>73</v>
      </c>
      <c r="AQ14" t="s">
        <v>73</v>
      </c>
      <c r="AR14" t="s">
        <v>73</v>
      </c>
      <c r="AS14">
        <v>1</v>
      </c>
      <c r="AT14">
        <v>1</v>
      </c>
      <c r="AU14">
        <v>1</v>
      </c>
      <c r="AV14">
        <v>1</v>
      </c>
      <c r="AW14">
        <v>0</v>
      </c>
      <c r="AX14">
        <v>1</v>
      </c>
      <c r="AY14" t="s">
        <v>81</v>
      </c>
      <c r="AZ14">
        <v>0.28837000000000002</v>
      </c>
      <c r="BA14" t="s">
        <v>73</v>
      </c>
      <c r="BB14">
        <v>1</v>
      </c>
      <c r="BC14">
        <v>1</v>
      </c>
      <c r="BD14" t="s">
        <v>83</v>
      </c>
      <c r="BE14" t="s">
        <v>83</v>
      </c>
      <c r="BF14" t="s">
        <v>73</v>
      </c>
      <c r="BG14" s="31">
        <v>52.143000000000001</v>
      </c>
      <c r="BH14">
        <v>12</v>
      </c>
      <c r="BI14" s="30">
        <v>0</v>
      </c>
      <c r="BJ14" s="30">
        <v>0</v>
      </c>
      <c r="BK14" s="30">
        <f t="shared" si="9"/>
        <v>0</v>
      </c>
      <c r="BL14" s="30">
        <f t="shared" si="10"/>
        <v>9.9009900990099011E-3</v>
      </c>
      <c r="BM14" s="30">
        <f t="shared" si="11"/>
        <v>1.0101010101010102E-2</v>
      </c>
    </row>
    <row r="15" spans="1:68" hidden="1">
      <c r="A15" t="s">
        <v>68</v>
      </c>
      <c r="B15">
        <f>B14+1</f>
        <v>14</v>
      </c>
      <c r="C15">
        <v>1002</v>
      </c>
      <c r="D15" t="s">
        <v>99</v>
      </c>
      <c r="E15" t="s">
        <v>100</v>
      </c>
      <c r="F15" t="s">
        <v>101</v>
      </c>
      <c r="G15" t="s">
        <v>102</v>
      </c>
      <c r="H15" t="s">
        <v>73</v>
      </c>
      <c r="I15">
        <v>37</v>
      </c>
      <c r="J15" t="s">
        <v>93</v>
      </c>
      <c r="K15" t="s">
        <v>76</v>
      </c>
      <c r="L15">
        <v>1</v>
      </c>
      <c r="M15">
        <v>1</v>
      </c>
      <c r="N15">
        <v>0</v>
      </c>
      <c r="O15">
        <v>0</v>
      </c>
      <c r="P15">
        <v>0</v>
      </c>
      <c r="Q15">
        <v>0</v>
      </c>
      <c r="R15">
        <v>0</v>
      </c>
      <c r="S15">
        <v>0</v>
      </c>
      <c r="T15">
        <v>0</v>
      </c>
      <c r="U15">
        <v>1</v>
      </c>
      <c r="V15">
        <v>0</v>
      </c>
      <c r="W15">
        <v>0</v>
      </c>
      <c r="X15">
        <v>0</v>
      </c>
      <c r="Y15">
        <v>0</v>
      </c>
      <c r="Z15" t="s">
        <v>103</v>
      </c>
      <c r="AA15" t="s">
        <v>78</v>
      </c>
      <c r="AB15" t="s">
        <v>73</v>
      </c>
      <c r="AC15" s="7" t="s">
        <v>86</v>
      </c>
      <c r="AD15" t="s">
        <v>73</v>
      </c>
      <c r="AE15" t="s">
        <v>73</v>
      </c>
      <c r="AF15" t="s">
        <v>73</v>
      </c>
      <c r="AG15" t="s">
        <v>73</v>
      </c>
      <c r="AH15" t="s">
        <v>73</v>
      </c>
      <c r="AI15" t="s">
        <v>73</v>
      </c>
      <c r="AJ15" t="s">
        <v>73</v>
      </c>
      <c r="AK15" t="s">
        <v>73</v>
      </c>
      <c r="AL15">
        <v>102</v>
      </c>
      <c r="AM15">
        <f>7120+1879</f>
        <v>8999</v>
      </c>
      <c r="AN15">
        <v>0.1</v>
      </c>
      <c r="AO15">
        <v>1</v>
      </c>
      <c r="AP15" t="s">
        <v>73</v>
      </c>
      <c r="AQ15" t="s">
        <v>73</v>
      </c>
      <c r="AR15" t="s">
        <v>73</v>
      </c>
      <c r="AS15">
        <v>1</v>
      </c>
      <c r="AT15">
        <v>1</v>
      </c>
      <c r="AU15">
        <v>1</v>
      </c>
      <c r="AV15">
        <v>1</v>
      </c>
      <c r="AW15">
        <v>0</v>
      </c>
      <c r="AX15">
        <v>1</v>
      </c>
      <c r="AY15" t="s">
        <v>81</v>
      </c>
      <c r="AZ15">
        <v>4.43337</v>
      </c>
      <c r="BA15" t="s">
        <v>73</v>
      </c>
      <c r="BB15">
        <v>1</v>
      </c>
      <c r="BC15">
        <v>1</v>
      </c>
      <c r="BD15" t="s">
        <v>83</v>
      </c>
      <c r="BE15" t="s">
        <v>83</v>
      </c>
      <c r="BF15" t="s">
        <v>73</v>
      </c>
      <c r="BG15" s="31">
        <v>52.143000000000001</v>
      </c>
      <c r="BH15">
        <v>5</v>
      </c>
      <c r="BI15" s="30">
        <v>0</v>
      </c>
      <c r="BJ15" s="30">
        <v>0</v>
      </c>
      <c r="BK15" s="30">
        <f t="shared" si="9"/>
        <v>0</v>
      </c>
      <c r="BL15" s="30">
        <f t="shared" si="10"/>
        <v>9.9009900990099011E-3</v>
      </c>
      <c r="BM15" s="30">
        <f t="shared" si="11"/>
        <v>1.0101010101010102E-2</v>
      </c>
    </row>
    <row r="16" spans="1:68" hidden="1">
      <c r="A16" t="s">
        <v>68</v>
      </c>
      <c r="B16">
        <f>B15+1</f>
        <v>15</v>
      </c>
      <c r="C16">
        <v>1002</v>
      </c>
      <c r="D16" t="s">
        <v>99</v>
      </c>
      <c r="E16" t="s">
        <v>100</v>
      </c>
      <c r="F16" t="s">
        <v>101</v>
      </c>
      <c r="G16" t="s">
        <v>102</v>
      </c>
      <c r="H16" t="s">
        <v>73</v>
      </c>
      <c r="I16">
        <v>37</v>
      </c>
      <c r="J16" t="s">
        <v>93</v>
      </c>
      <c r="K16" t="s">
        <v>76</v>
      </c>
      <c r="L16">
        <v>1</v>
      </c>
      <c r="M16">
        <v>1</v>
      </c>
      <c r="N16">
        <v>0</v>
      </c>
      <c r="O16">
        <v>0</v>
      </c>
      <c r="P16">
        <v>0</v>
      </c>
      <c r="Q16">
        <v>0</v>
      </c>
      <c r="R16">
        <v>0</v>
      </c>
      <c r="S16">
        <v>0</v>
      </c>
      <c r="T16">
        <v>0</v>
      </c>
      <c r="U16">
        <v>1</v>
      </c>
      <c r="V16">
        <v>0</v>
      </c>
      <c r="W16">
        <v>0</v>
      </c>
      <c r="X16">
        <v>0</v>
      </c>
      <c r="Y16">
        <v>0</v>
      </c>
      <c r="Z16" t="s">
        <v>104</v>
      </c>
      <c r="AA16" t="s">
        <v>78</v>
      </c>
      <c r="AB16" t="s">
        <v>73</v>
      </c>
      <c r="AC16" s="7" t="s">
        <v>86</v>
      </c>
      <c r="AD16" t="s">
        <v>73</v>
      </c>
      <c r="AE16">
        <v>25</v>
      </c>
      <c r="AF16" t="s">
        <v>73</v>
      </c>
      <c r="AG16" t="s">
        <v>73</v>
      </c>
      <c r="AH16" t="s">
        <v>73</v>
      </c>
      <c r="AI16" t="s">
        <v>73</v>
      </c>
      <c r="AJ16" t="s">
        <v>73</v>
      </c>
      <c r="AK16" t="s">
        <v>73</v>
      </c>
      <c r="AL16">
        <v>102</v>
      </c>
      <c r="AM16">
        <f>7120+1879</f>
        <v>8999</v>
      </c>
      <c r="AN16">
        <v>0.05</v>
      </c>
      <c r="AO16">
        <v>2</v>
      </c>
      <c r="AP16">
        <v>1.9835</v>
      </c>
      <c r="AQ16" t="s">
        <v>73</v>
      </c>
      <c r="AR16" t="s">
        <v>73</v>
      </c>
      <c r="AS16">
        <v>1</v>
      </c>
      <c r="AT16">
        <v>1</v>
      </c>
      <c r="AU16">
        <v>1</v>
      </c>
      <c r="AV16">
        <v>1</v>
      </c>
      <c r="AW16">
        <v>0</v>
      </c>
      <c r="AX16">
        <v>1</v>
      </c>
      <c r="AY16" t="s">
        <v>81</v>
      </c>
      <c r="AZ16">
        <v>4.43337</v>
      </c>
      <c r="BA16" t="s">
        <v>73</v>
      </c>
      <c r="BB16">
        <v>1</v>
      </c>
      <c r="BC16">
        <v>1</v>
      </c>
      <c r="BD16" t="s">
        <v>83</v>
      </c>
      <c r="BE16" t="s">
        <v>83</v>
      </c>
      <c r="BF16" t="s">
        <v>73</v>
      </c>
      <c r="BG16" s="31">
        <v>52.143000000000001</v>
      </c>
      <c r="BH16">
        <v>12</v>
      </c>
      <c r="BI16" s="30">
        <f>(((AP16^2)/(AP16^2+AL16))^1/2)</f>
        <v>1.8569402358829156E-2</v>
      </c>
      <c r="BJ16" s="30">
        <f>- (((AP16^2)/(AP16^2+AM16))^1/2)</f>
        <v>-2.1849944312748784E-4</v>
      </c>
      <c r="BK16" s="30">
        <f t="shared" si="9"/>
        <v>-2.1849944660474072E-4</v>
      </c>
      <c r="BL16" s="30">
        <f t="shared" si="10"/>
        <v>9.9009900990098786E-3</v>
      </c>
      <c r="BM16" s="30">
        <f t="shared" si="11"/>
        <v>1.0101010101010102E-2</v>
      </c>
    </row>
    <row r="17" spans="1:67" hidden="1">
      <c r="A17" t="s">
        <v>68</v>
      </c>
      <c r="B17">
        <v>16</v>
      </c>
      <c r="C17">
        <v>1003</v>
      </c>
      <c r="D17" t="s">
        <v>105</v>
      </c>
      <c r="E17" t="s">
        <v>106</v>
      </c>
      <c r="F17" t="s">
        <v>73</v>
      </c>
      <c r="G17">
        <v>1978</v>
      </c>
      <c r="H17" t="s">
        <v>73</v>
      </c>
      <c r="I17">
        <v>414</v>
      </c>
      <c r="J17" t="s">
        <v>107</v>
      </c>
      <c r="K17" t="s">
        <v>76</v>
      </c>
      <c r="L17">
        <v>1</v>
      </c>
      <c r="M17">
        <v>1</v>
      </c>
      <c r="N17">
        <v>0</v>
      </c>
      <c r="O17">
        <v>1</v>
      </c>
      <c r="P17">
        <v>0</v>
      </c>
      <c r="Q17">
        <v>0</v>
      </c>
      <c r="R17">
        <v>0</v>
      </c>
      <c r="S17">
        <v>0</v>
      </c>
      <c r="T17">
        <v>0</v>
      </c>
      <c r="U17">
        <v>0</v>
      </c>
      <c r="V17">
        <v>0</v>
      </c>
      <c r="W17">
        <v>0</v>
      </c>
      <c r="X17">
        <v>1</v>
      </c>
      <c r="Y17">
        <v>0</v>
      </c>
      <c r="Z17" t="s">
        <v>73</v>
      </c>
      <c r="AA17" t="s">
        <v>108</v>
      </c>
      <c r="AB17" t="s">
        <v>73</v>
      </c>
      <c r="AC17" s="7" t="s">
        <v>86</v>
      </c>
      <c r="AD17" t="s">
        <v>73</v>
      </c>
      <c r="AE17" t="s">
        <v>73</v>
      </c>
      <c r="AF17">
        <v>22.76</v>
      </c>
      <c r="AG17" t="s">
        <v>73</v>
      </c>
      <c r="AH17">
        <v>6.02</v>
      </c>
      <c r="AI17">
        <v>18.3</v>
      </c>
      <c r="AJ17" t="s">
        <v>73</v>
      </c>
      <c r="AK17">
        <v>2.96</v>
      </c>
      <c r="AL17">
        <v>40</v>
      </c>
      <c r="AM17">
        <f>3*4*AL17</f>
        <v>480</v>
      </c>
      <c r="AN17">
        <v>0.1</v>
      </c>
      <c r="AO17">
        <v>1</v>
      </c>
      <c r="AP17" t="s">
        <v>73</v>
      </c>
      <c r="AQ17">
        <f>AF17-AI17</f>
        <v>4.4600000000000009</v>
      </c>
      <c r="AR17" t="s">
        <v>73</v>
      </c>
      <c r="AS17">
        <v>1</v>
      </c>
      <c r="AT17">
        <v>0</v>
      </c>
      <c r="AU17">
        <v>0</v>
      </c>
      <c r="AV17">
        <v>1</v>
      </c>
      <c r="AW17">
        <v>0</v>
      </c>
      <c r="AX17">
        <v>1</v>
      </c>
      <c r="AY17" t="s">
        <v>81</v>
      </c>
      <c r="AZ17" s="32" t="s">
        <v>73</v>
      </c>
      <c r="BA17" t="s">
        <v>73</v>
      </c>
      <c r="BB17">
        <v>1</v>
      </c>
      <c r="BC17">
        <v>1</v>
      </c>
      <c r="BD17" t="s">
        <v>83</v>
      </c>
      <c r="BE17" t="s">
        <v>83</v>
      </c>
      <c r="BF17" t="s">
        <v>73</v>
      </c>
      <c r="BG17" t="s">
        <v>79</v>
      </c>
      <c r="BH17">
        <v>4</v>
      </c>
      <c r="BI17" s="30">
        <v>0</v>
      </c>
      <c r="BJ17" s="30">
        <v>0</v>
      </c>
      <c r="BK17" s="30">
        <f t="shared" si="9"/>
        <v>0</v>
      </c>
      <c r="BL17" s="30">
        <f t="shared" si="10"/>
        <v>2.564102564102564E-2</v>
      </c>
      <c r="BM17" s="30">
        <f t="shared" si="11"/>
        <v>2.7027027027027029E-2</v>
      </c>
    </row>
    <row r="18" spans="1:67" hidden="1">
      <c r="A18" t="s">
        <v>68</v>
      </c>
      <c r="B18">
        <f>B17+1</f>
        <v>17</v>
      </c>
      <c r="C18">
        <v>1003</v>
      </c>
      <c r="D18" t="s">
        <v>105</v>
      </c>
      <c r="E18" t="s">
        <v>106</v>
      </c>
      <c r="F18" t="s">
        <v>73</v>
      </c>
      <c r="G18">
        <v>1978</v>
      </c>
      <c r="H18" t="s">
        <v>73</v>
      </c>
      <c r="I18">
        <v>414</v>
      </c>
      <c r="J18" t="s">
        <v>107</v>
      </c>
      <c r="K18" t="s">
        <v>76</v>
      </c>
      <c r="L18">
        <v>1</v>
      </c>
      <c r="M18">
        <v>1</v>
      </c>
      <c r="N18">
        <v>0</v>
      </c>
      <c r="O18">
        <v>0</v>
      </c>
      <c r="P18">
        <v>0</v>
      </c>
      <c r="Q18">
        <v>0</v>
      </c>
      <c r="R18">
        <v>0</v>
      </c>
      <c r="S18">
        <v>0</v>
      </c>
      <c r="T18">
        <v>0</v>
      </c>
      <c r="U18">
        <v>0</v>
      </c>
      <c r="V18">
        <v>0</v>
      </c>
      <c r="W18">
        <v>0</v>
      </c>
      <c r="X18">
        <v>1</v>
      </c>
      <c r="Y18">
        <v>0</v>
      </c>
      <c r="Z18" t="s">
        <v>73</v>
      </c>
      <c r="AA18" t="s">
        <v>108</v>
      </c>
      <c r="AB18" t="s">
        <v>73</v>
      </c>
      <c r="AC18" s="7" t="s">
        <v>86</v>
      </c>
      <c r="AD18" t="s">
        <v>73</v>
      </c>
      <c r="AE18" t="s">
        <v>73</v>
      </c>
      <c r="AF18">
        <v>22.76</v>
      </c>
      <c r="AG18" t="s">
        <v>73</v>
      </c>
      <c r="AH18">
        <v>6.02</v>
      </c>
      <c r="AI18">
        <v>20.61</v>
      </c>
      <c r="AJ18" t="s">
        <v>73</v>
      </c>
      <c r="AK18">
        <v>5.69</v>
      </c>
      <c r="AL18">
        <v>40</v>
      </c>
      <c r="AM18">
        <f>3*4*AL18</f>
        <v>480</v>
      </c>
      <c r="AN18">
        <v>0.1</v>
      </c>
      <c r="AO18">
        <v>1</v>
      </c>
      <c r="AP18" t="s">
        <v>73</v>
      </c>
      <c r="AQ18">
        <f>AF18-AI18</f>
        <v>2.1500000000000021</v>
      </c>
      <c r="AR18" t="s">
        <v>73</v>
      </c>
      <c r="AS18">
        <v>1</v>
      </c>
      <c r="AT18">
        <v>0</v>
      </c>
      <c r="AU18">
        <v>0</v>
      </c>
      <c r="AV18">
        <v>1</v>
      </c>
      <c r="AW18">
        <v>0</v>
      </c>
      <c r="AX18">
        <v>1</v>
      </c>
      <c r="AY18" t="s">
        <v>81</v>
      </c>
      <c r="AZ18" s="32" t="s">
        <v>73</v>
      </c>
      <c r="BA18" t="s">
        <v>73</v>
      </c>
      <c r="BB18">
        <v>1</v>
      </c>
      <c r="BC18">
        <v>1</v>
      </c>
      <c r="BD18" t="s">
        <v>83</v>
      </c>
      <c r="BE18" t="s">
        <v>83</v>
      </c>
      <c r="BF18" t="s">
        <v>73</v>
      </c>
      <c r="BG18" t="s">
        <v>79</v>
      </c>
      <c r="BH18">
        <v>4</v>
      </c>
      <c r="BI18" s="30">
        <v>0</v>
      </c>
      <c r="BJ18" s="30">
        <v>0</v>
      </c>
      <c r="BK18" s="30">
        <f t="shared" si="9"/>
        <v>0</v>
      </c>
      <c r="BL18" s="30">
        <f t="shared" si="10"/>
        <v>2.564102564102564E-2</v>
      </c>
      <c r="BM18" s="30">
        <f t="shared" si="11"/>
        <v>2.7027027027027029E-2</v>
      </c>
    </row>
    <row r="19" spans="1:67" hidden="1">
      <c r="A19" t="s">
        <v>68</v>
      </c>
      <c r="B19">
        <f>B18+1</f>
        <v>18</v>
      </c>
      <c r="C19">
        <v>1003</v>
      </c>
      <c r="D19" t="s">
        <v>105</v>
      </c>
      <c r="E19" t="s">
        <v>106</v>
      </c>
      <c r="F19" t="s">
        <v>73</v>
      </c>
      <c r="G19">
        <v>1978</v>
      </c>
      <c r="H19" t="s">
        <v>73</v>
      </c>
      <c r="I19">
        <v>414</v>
      </c>
      <c r="J19" t="s">
        <v>107</v>
      </c>
      <c r="K19" t="s">
        <v>76</v>
      </c>
      <c r="L19">
        <v>1</v>
      </c>
      <c r="M19">
        <v>0</v>
      </c>
      <c r="N19">
        <v>0</v>
      </c>
      <c r="O19">
        <v>1</v>
      </c>
      <c r="P19">
        <v>0</v>
      </c>
      <c r="Q19">
        <v>0</v>
      </c>
      <c r="R19">
        <v>0</v>
      </c>
      <c r="S19">
        <v>0</v>
      </c>
      <c r="T19">
        <v>0</v>
      </c>
      <c r="U19">
        <v>0</v>
      </c>
      <c r="V19">
        <v>0</v>
      </c>
      <c r="W19">
        <v>0</v>
      </c>
      <c r="X19">
        <v>1</v>
      </c>
      <c r="Y19">
        <v>0</v>
      </c>
      <c r="Z19" t="s">
        <v>73</v>
      </c>
      <c r="AA19" t="s">
        <v>108</v>
      </c>
      <c r="AB19" t="s">
        <v>73</v>
      </c>
      <c r="AC19" s="7" t="s">
        <v>86</v>
      </c>
      <c r="AD19" t="s">
        <v>73</v>
      </c>
      <c r="AE19" t="s">
        <v>73</v>
      </c>
      <c r="AF19">
        <v>22.76</v>
      </c>
      <c r="AG19" t="s">
        <v>73</v>
      </c>
      <c r="AH19">
        <v>6.02</v>
      </c>
      <c r="AI19">
        <v>18.239999999999998</v>
      </c>
      <c r="AJ19" t="s">
        <v>73</v>
      </c>
      <c r="AK19">
        <v>4.5</v>
      </c>
      <c r="AL19">
        <v>40</v>
      </c>
      <c r="AM19">
        <f>3*4*AL19</f>
        <v>480</v>
      </c>
      <c r="AN19">
        <v>0.1</v>
      </c>
      <c r="AO19">
        <v>1</v>
      </c>
      <c r="AP19" t="s">
        <v>73</v>
      </c>
      <c r="AQ19">
        <f>AF19-AI19</f>
        <v>4.5200000000000031</v>
      </c>
      <c r="AR19" t="s">
        <v>73</v>
      </c>
      <c r="AS19">
        <v>1</v>
      </c>
      <c r="AT19">
        <v>0</v>
      </c>
      <c r="AU19">
        <v>0</v>
      </c>
      <c r="AV19">
        <v>1</v>
      </c>
      <c r="AW19">
        <v>0</v>
      </c>
      <c r="AX19">
        <v>1</v>
      </c>
      <c r="AY19" t="s">
        <v>81</v>
      </c>
      <c r="AZ19" s="32" t="s">
        <v>73</v>
      </c>
      <c r="BA19" t="s">
        <v>73</v>
      </c>
      <c r="BB19">
        <v>1</v>
      </c>
      <c r="BC19">
        <v>1</v>
      </c>
      <c r="BD19" t="s">
        <v>83</v>
      </c>
      <c r="BE19" t="s">
        <v>83</v>
      </c>
      <c r="BF19" t="s">
        <v>73</v>
      </c>
      <c r="BG19" t="s">
        <v>79</v>
      </c>
      <c r="BH19">
        <v>4</v>
      </c>
      <c r="BI19" s="30">
        <v>0</v>
      </c>
      <c r="BJ19" s="30">
        <v>0</v>
      </c>
      <c r="BK19" s="30">
        <f t="shared" si="9"/>
        <v>0</v>
      </c>
      <c r="BL19" s="30">
        <f t="shared" si="10"/>
        <v>2.564102564102564E-2</v>
      </c>
      <c r="BM19" s="30">
        <f t="shared" si="11"/>
        <v>2.7027027027027029E-2</v>
      </c>
    </row>
    <row r="20" spans="1:67" s="32" customFormat="1" hidden="1">
      <c r="A20" s="32" t="s">
        <v>68</v>
      </c>
      <c r="B20" s="32">
        <v>19</v>
      </c>
      <c r="C20" s="32">
        <v>1004</v>
      </c>
      <c r="D20" s="32" t="s">
        <v>109</v>
      </c>
      <c r="E20" s="32" t="s">
        <v>110</v>
      </c>
      <c r="F20" s="32" t="s">
        <v>111</v>
      </c>
      <c r="G20" s="32">
        <v>2011</v>
      </c>
      <c r="H20" s="32" t="s">
        <v>73</v>
      </c>
      <c r="I20" s="32">
        <v>647</v>
      </c>
      <c r="J20" s="32" t="s">
        <v>107</v>
      </c>
      <c r="K20" s="32" t="s">
        <v>112</v>
      </c>
      <c r="L20" s="32">
        <v>1</v>
      </c>
      <c r="M20">
        <v>0</v>
      </c>
      <c r="N20">
        <v>0</v>
      </c>
      <c r="O20" s="32">
        <v>1</v>
      </c>
      <c r="P20">
        <v>0</v>
      </c>
      <c r="Q20">
        <v>0</v>
      </c>
      <c r="R20">
        <v>0</v>
      </c>
      <c r="S20">
        <v>0</v>
      </c>
      <c r="T20">
        <v>0</v>
      </c>
      <c r="U20">
        <v>0</v>
      </c>
      <c r="V20">
        <v>0</v>
      </c>
      <c r="W20">
        <v>0</v>
      </c>
      <c r="X20">
        <v>1</v>
      </c>
      <c r="Y20">
        <v>0</v>
      </c>
      <c r="Z20" s="32" t="s">
        <v>73</v>
      </c>
      <c r="AA20" t="s">
        <v>113</v>
      </c>
      <c r="AB20" s="33" t="s">
        <v>73</v>
      </c>
      <c r="AC20" s="33" t="s">
        <v>86</v>
      </c>
      <c r="AD20" t="s">
        <v>73</v>
      </c>
      <c r="AE20" s="32">
        <v>5.6</v>
      </c>
      <c r="AF20" s="32" t="s">
        <v>73</v>
      </c>
      <c r="AG20" s="32" t="s">
        <v>73</v>
      </c>
      <c r="AH20" s="32" t="s">
        <v>73</v>
      </c>
      <c r="AI20" s="32" t="s">
        <v>73</v>
      </c>
      <c r="AJ20" s="32">
        <v>88</v>
      </c>
      <c r="AK20" s="32" t="s">
        <v>73</v>
      </c>
      <c r="AL20" s="32">
        <v>88</v>
      </c>
      <c r="AM20" s="32">
        <f>168*13</f>
        <v>2184</v>
      </c>
      <c r="AN20" s="32">
        <v>0.01</v>
      </c>
      <c r="AO20" s="32">
        <v>2</v>
      </c>
      <c r="AP20" s="32">
        <v>2.6328999999999998</v>
      </c>
      <c r="AQ20" s="32">
        <v>7.0000000000000007E-2</v>
      </c>
      <c r="AR20" s="32" t="s">
        <v>73</v>
      </c>
      <c r="AS20" s="32">
        <v>1</v>
      </c>
      <c r="AT20">
        <v>0</v>
      </c>
      <c r="AU20">
        <v>0</v>
      </c>
      <c r="AV20">
        <v>0</v>
      </c>
      <c r="AW20">
        <v>0</v>
      </c>
      <c r="AX20">
        <v>1</v>
      </c>
      <c r="AY20" s="32" t="s">
        <v>81</v>
      </c>
      <c r="AZ20" s="32" t="s">
        <v>73</v>
      </c>
      <c r="BA20" t="s">
        <v>73</v>
      </c>
      <c r="BB20">
        <v>1</v>
      </c>
      <c r="BC20">
        <v>1</v>
      </c>
      <c r="BD20" t="s">
        <v>83</v>
      </c>
      <c r="BE20" t="s">
        <v>83</v>
      </c>
      <c r="BF20" t="s">
        <v>73</v>
      </c>
      <c r="BG20" s="19">
        <f t="shared" ref="BG20:BH22" si="12" xml:space="preserve"> 3 * 4.345</f>
        <v>13.035</v>
      </c>
      <c r="BH20" s="19">
        <f t="shared" si="12"/>
        <v>13.035</v>
      </c>
      <c r="BI20" s="30">
        <f>(((AP20^2)/(AP20^2+AL20))^1/2)</f>
        <v>3.6511137184787101E-2</v>
      </c>
      <c r="BJ20" s="30">
        <f>- (((AP20^2)/(AP20^2+AM20))^1/2)</f>
        <v>-1.5820121062933097E-3</v>
      </c>
      <c r="BK20" s="30">
        <f t="shared" si="9"/>
        <v>-1.5820134260953714E-3</v>
      </c>
      <c r="BL20" s="30">
        <f t="shared" si="10"/>
        <v>1.149425287349122E-2</v>
      </c>
      <c r="BM20" s="30">
        <f t="shared" si="11"/>
        <v>1.1764705882352941E-2</v>
      </c>
    </row>
    <row r="21" spans="1:67" s="32" customFormat="1" hidden="1">
      <c r="A21" s="32" t="s">
        <v>68</v>
      </c>
      <c r="B21" s="32">
        <v>20</v>
      </c>
      <c r="C21" s="32">
        <v>1004</v>
      </c>
      <c r="D21" s="32" t="s">
        <v>109</v>
      </c>
      <c r="E21" s="32" t="s">
        <v>110</v>
      </c>
      <c r="F21" s="32" t="s">
        <v>111</v>
      </c>
      <c r="G21" s="32">
        <v>2011</v>
      </c>
      <c r="H21" s="32" t="s">
        <v>73</v>
      </c>
      <c r="I21" s="32">
        <v>647</v>
      </c>
      <c r="J21" s="32" t="s">
        <v>107</v>
      </c>
      <c r="K21" s="32" t="s">
        <v>112</v>
      </c>
      <c r="L21" s="32">
        <v>1</v>
      </c>
      <c r="M21">
        <v>0</v>
      </c>
      <c r="N21">
        <v>0</v>
      </c>
      <c r="O21" s="32">
        <v>1</v>
      </c>
      <c r="P21">
        <v>0</v>
      </c>
      <c r="Q21">
        <v>0</v>
      </c>
      <c r="R21">
        <v>0</v>
      </c>
      <c r="S21">
        <v>0</v>
      </c>
      <c r="T21">
        <v>0</v>
      </c>
      <c r="U21">
        <v>0</v>
      </c>
      <c r="V21">
        <v>0</v>
      </c>
      <c r="W21">
        <v>0</v>
      </c>
      <c r="X21">
        <v>1</v>
      </c>
      <c r="Y21">
        <v>0</v>
      </c>
      <c r="Z21" s="32" t="s">
        <v>73</v>
      </c>
      <c r="AA21" t="s">
        <v>114</v>
      </c>
      <c r="AB21" s="33" t="s">
        <v>73</v>
      </c>
      <c r="AC21" s="33" t="s">
        <v>86</v>
      </c>
      <c r="AD21" t="s">
        <v>73</v>
      </c>
      <c r="AE21" s="32">
        <v>17</v>
      </c>
      <c r="AF21" s="32" t="s">
        <v>73</v>
      </c>
      <c r="AG21" s="32" t="s">
        <v>73</v>
      </c>
      <c r="AH21" s="32" t="s">
        <v>73</v>
      </c>
      <c r="AI21" s="32" t="s">
        <v>73</v>
      </c>
      <c r="AJ21" s="32">
        <v>88</v>
      </c>
      <c r="AK21" s="32" t="s">
        <v>73</v>
      </c>
      <c r="AL21" s="32">
        <v>88</v>
      </c>
      <c r="AM21" s="32">
        <f>168*13</f>
        <v>2184</v>
      </c>
      <c r="AN21" s="32">
        <v>0.01</v>
      </c>
      <c r="AO21" s="32">
        <v>2</v>
      </c>
      <c r="AP21" s="32">
        <v>2.6328999999999998</v>
      </c>
      <c r="AQ21" s="32">
        <v>0.45</v>
      </c>
      <c r="AR21" s="32" t="s">
        <v>73</v>
      </c>
      <c r="AS21" s="32">
        <v>1</v>
      </c>
      <c r="AT21">
        <v>0</v>
      </c>
      <c r="AU21">
        <v>0</v>
      </c>
      <c r="AV21">
        <v>0</v>
      </c>
      <c r="AW21">
        <v>0</v>
      </c>
      <c r="AX21">
        <v>1</v>
      </c>
      <c r="AY21" s="32" t="s">
        <v>81</v>
      </c>
      <c r="AZ21" s="32" t="s">
        <v>73</v>
      </c>
      <c r="BA21" t="s">
        <v>73</v>
      </c>
      <c r="BB21">
        <v>1</v>
      </c>
      <c r="BC21">
        <v>1</v>
      </c>
      <c r="BD21" t="s">
        <v>83</v>
      </c>
      <c r="BE21" t="s">
        <v>83</v>
      </c>
      <c r="BF21" t="s">
        <v>73</v>
      </c>
      <c r="BG21" s="19">
        <f t="shared" si="12"/>
        <v>13.035</v>
      </c>
      <c r="BH21" s="19">
        <f t="shared" si="12"/>
        <v>13.035</v>
      </c>
      <c r="BI21" s="30">
        <f>(((AP21^2)/(AP21^2+AL21))^1/2)</f>
        <v>3.6511137184787101E-2</v>
      </c>
      <c r="BJ21" s="30">
        <f>- (((AP21^2)/(AP21^2+AM21))^1/2)</f>
        <v>-1.5820121062933097E-3</v>
      </c>
      <c r="BK21" s="30">
        <f t="shared" si="9"/>
        <v>-1.5820134260953714E-3</v>
      </c>
      <c r="BL21" s="30">
        <f t="shared" si="10"/>
        <v>1.149425287349122E-2</v>
      </c>
      <c r="BM21" s="30">
        <f t="shared" si="11"/>
        <v>1.1764705882352941E-2</v>
      </c>
    </row>
    <row r="22" spans="1:67" s="32" customFormat="1" hidden="1">
      <c r="A22" s="32" t="s">
        <v>68</v>
      </c>
      <c r="B22" s="32">
        <v>21</v>
      </c>
      <c r="C22" s="32">
        <v>1004</v>
      </c>
      <c r="D22" s="32" t="s">
        <v>109</v>
      </c>
      <c r="E22" s="32" t="s">
        <v>110</v>
      </c>
      <c r="F22" s="32" t="s">
        <v>111</v>
      </c>
      <c r="G22" s="32">
        <v>2011</v>
      </c>
      <c r="H22" s="32" t="s">
        <v>73</v>
      </c>
      <c r="I22" s="32">
        <v>647</v>
      </c>
      <c r="J22" s="32" t="s">
        <v>107</v>
      </c>
      <c r="K22" s="32" t="s">
        <v>112</v>
      </c>
      <c r="L22" s="32">
        <v>1</v>
      </c>
      <c r="M22">
        <v>0</v>
      </c>
      <c r="N22">
        <v>0</v>
      </c>
      <c r="O22" s="32">
        <v>1</v>
      </c>
      <c r="P22">
        <v>0</v>
      </c>
      <c r="Q22">
        <v>0</v>
      </c>
      <c r="R22">
        <v>0</v>
      </c>
      <c r="S22">
        <v>0</v>
      </c>
      <c r="T22">
        <v>0</v>
      </c>
      <c r="U22">
        <v>0</v>
      </c>
      <c r="V22">
        <v>0</v>
      </c>
      <c r="W22">
        <v>0</v>
      </c>
      <c r="X22">
        <v>1</v>
      </c>
      <c r="Y22">
        <v>0</v>
      </c>
      <c r="Z22" s="32" t="s">
        <v>73</v>
      </c>
      <c r="AA22" t="s">
        <v>115</v>
      </c>
      <c r="AB22" s="33" t="s">
        <v>73</v>
      </c>
      <c r="AC22" s="33" t="s">
        <v>86</v>
      </c>
      <c r="AD22" t="s">
        <v>73</v>
      </c>
      <c r="AE22" s="32">
        <v>38</v>
      </c>
      <c r="AF22" s="32" t="s">
        <v>73</v>
      </c>
      <c r="AG22" s="32" t="s">
        <v>73</v>
      </c>
      <c r="AH22" s="32" t="s">
        <v>73</v>
      </c>
      <c r="AI22" s="32" t="s">
        <v>73</v>
      </c>
      <c r="AJ22" s="32">
        <v>88</v>
      </c>
      <c r="AK22" s="32" t="s">
        <v>73</v>
      </c>
      <c r="AL22" s="32">
        <v>88</v>
      </c>
      <c r="AM22" s="32">
        <f>168*13</f>
        <v>2184</v>
      </c>
      <c r="AN22" s="32">
        <v>0.01</v>
      </c>
      <c r="AO22" s="32">
        <v>2</v>
      </c>
      <c r="AP22" s="32">
        <v>2.6328999999999998</v>
      </c>
      <c r="AQ22" s="32">
        <v>0.98</v>
      </c>
      <c r="AR22" s="32" t="s">
        <v>73</v>
      </c>
      <c r="AS22" s="32">
        <v>1</v>
      </c>
      <c r="AT22">
        <v>0</v>
      </c>
      <c r="AU22">
        <v>0</v>
      </c>
      <c r="AV22">
        <v>0</v>
      </c>
      <c r="AW22">
        <v>0</v>
      </c>
      <c r="AX22">
        <v>1</v>
      </c>
      <c r="AY22" s="32" t="s">
        <v>81</v>
      </c>
      <c r="AZ22" s="32" t="s">
        <v>73</v>
      </c>
      <c r="BA22" t="s">
        <v>73</v>
      </c>
      <c r="BB22">
        <v>1</v>
      </c>
      <c r="BC22">
        <v>1</v>
      </c>
      <c r="BD22" t="s">
        <v>83</v>
      </c>
      <c r="BE22" t="s">
        <v>83</v>
      </c>
      <c r="BF22" t="s">
        <v>73</v>
      </c>
      <c r="BG22" s="19">
        <f t="shared" si="12"/>
        <v>13.035</v>
      </c>
      <c r="BH22" s="19">
        <f t="shared" si="12"/>
        <v>13.035</v>
      </c>
      <c r="BI22" s="30">
        <f>(((AP22^2)/(AP22^2+AL22))^1/2)</f>
        <v>3.6511137184787101E-2</v>
      </c>
      <c r="BJ22" s="30">
        <f>- (((AP22^2)/(AP22^2+AM22))^1/2)</f>
        <v>-1.5820121062933097E-3</v>
      </c>
      <c r="BK22" s="30">
        <f t="shared" si="9"/>
        <v>-1.5820134260953714E-3</v>
      </c>
      <c r="BL22" s="30">
        <f t="shared" si="10"/>
        <v>1.149425287349122E-2</v>
      </c>
      <c r="BM22" s="30">
        <f t="shared" si="11"/>
        <v>1.1764705882352941E-2</v>
      </c>
    </row>
    <row r="23" spans="1:67" hidden="1">
      <c r="A23" t="s">
        <v>68</v>
      </c>
      <c r="B23">
        <v>22</v>
      </c>
      <c r="C23">
        <v>1005</v>
      </c>
      <c r="D23" t="s">
        <v>116</v>
      </c>
      <c r="E23" t="s">
        <v>117</v>
      </c>
      <c r="F23" t="s">
        <v>118</v>
      </c>
      <c r="G23" t="s">
        <v>119</v>
      </c>
      <c r="H23" t="s">
        <v>73</v>
      </c>
      <c r="J23" t="s">
        <v>120</v>
      </c>
      <c r="K23" t="s">
        <v>76</v>
      </c>
      <c r="L23">
        <v>1</v>
      </c>
      <c r="M23">
        <v>0</v>
      </c>
      <c r="N23">
        <v>0</v>
      </c>
      <c r="O23">
        <v>1</v>
      </c>
      <c r="P23">
        <v>0</v>
      </c>
      <c r="Q23">
        <v>0</v>
      </c>
      <c r="R23">
        <v>0</v>
      </c>
      <c r="S23">
        <v>0</v>
      </c>
      <c r="T23">
        <v>0</v>
      </c>
      <c r="U23">
        <v>0</v>
      </c>
      <c r="V23">
        <v>0</v>
      </c>
      <c r="W23">
        <v>0</v>
      </c>
      <c r="X23">
        <v>1</v>
      </c>
      <c r="Y23">
        <v>0</v>
      </c>
      <c r="Z23" t="s">
        <v>121</v>
      </c>
      <c r="AA23" t="s">
        <v>122</v>
      </c>
      <c r="AB23" s="7">
        <v>0</v>
      </c>
      <c r="AC23" s="7" t="s">
        <v>86</v>
      </c>
      <c r="AD23">
        <v>0.06</v>
      </c>
      <c r="AE23" t="s">
        <v>73</v>
      </c>
      <c r="AF23" t="s">
        <v>73</v>
      </c>
      <c r="AG23">
        <v>153</v>
      </c>
      <c r="AI23" s="32" t="s">
        <v>73</v>
      </c>
      <c r="AJ23">
        <v>154</v>
      </c>
      <c r="AK23" t="s">
        <v>73</v>
      </c>
      <c r="AL23">
        <v>691</v>
      </c>
      <c r="AM23">
        <v>691</v>
      </c>
      <c r="AN23" t="s">
        <v>123</v>
      </c>
      <c r="AO23">
        <v>3</v>
      </c>
      <c r="AP23">
        <f t="shared" ref="AP23:AP28" si="13">AB23/AD23</f>
        <v>0</v>
      </c>
      <c r="AQ23" t="s">
        <v>73</v>
      </c>
      <c r="AR23" t="s">
        <v>73</v>
      </c>
      <c r="AS23">
        <v>1</v>
      </c>
      <c r="AT23">
        <v>0</v>
      </c>
      <c r="AU23">
        <v>1</v>
      </c>
      <c r="AV23">
        <v>1</v>
      </c>
      <c r="AW23">
        <v>1</v>
      </c>
      <c r="AX23">
        <v>0</v>
      </c>
      <c r="AY23" t="s">
        <v>124</v>
      </c>
      <c r="AZ23">
        <v>16.23</v>
      </c>
      <c r="BA23" t="s">
        <v>73</v>
      </c>
      <c r="BB23">
        <v>1</v>
      </c>
      <c r="BC23">
        <v>1</v>
      </c>
      <c r="BD23" t="s">
        <v>83</v>
      </c>
      <c r="BE23" t="s">
        <v>83</v>
      </c>
      <c r="BF23" t="s">
        <v>73</v>
      </c>
      <c r="BG23" t="s">
        <v>79</v>
      </c>
      <c r="BH23" t="s">
        <v>79</v>
      </c>
      <c r="BI23" s="30">
        <f>(((AP23^2)/(AP23^2+AL23))^1/2)</f>
        <v>0</v>
      </c>
      <c r="BJ23" s="30">
        <f>- (((AP23^2)/(AP23^2+AM23))^1/2)</f>
        <v>0</v>
      </c>
      <c r="BK23" s="30">
        <f t="shared" si="9"/>
        <v>0</v>
      </c>
      <c r="BL23" s="30">
        <f t="shared" si="10"/>
        <v>1.4492753623188406E-3</v>
      </c>
      <c r="BM23" s="30">
        <f t="shared" si="11"/>
        <v>1.4534883720930232E-3</v>
      </c>
      <c r="BO23" t="s">
        <v>87</v>
      </c>
    </row>
    <row r="24" spans="1:67" hidden="1">
      <c r="A24" t="s">
        <v>68</v>
      </c>
      <c r="B24">
        <v>23</v>
      </c>
      <c r="C24">
        <v>1005</v>
      </c>
      <c r="D24" t="s">
        <v>116</v>
      </c>
      <c r="E24" t="s">
        <v>117</v>
      </c>
      <c r="F24" t="s">
        <v>118</v>
      </c>
      <c r="G24" t="s">
        <v>119</v>
      </c>
      <c r="H24" t="s">
        <v>73</v>
      </c>
      <c r="J24" t="s">
        <v>120</v>
      </c>
      <c r="K24" t="s">
        <v>76</v>
      </c>
      <c r="L24">
        <v>1</v>
      </c>
      <c r="M24">
        <v>0</v>
      </c>
      <c r="N24">
        <v>0</v>
      </c>
      <c r="O24">
        <v>1</v>
      </c>
      <c r="P24">
        <v>0</v>
      </c>
      <c r="Q24">
        <v>0</v>
      </c>
      <c r="R24">
        <v>0</v>
      </c>
      <c r="S24">
        <v>0</v>
      </c>
      <c r="T24">
        <v>0</v>
      </c>
      <c r="U24">
        <v>1</v>
      </c>
      <c r="V24">
        <v>0</v>
      </c>
      <c r="W24">
        <v>0</v>
      </c>
      <c r="X24">
        <v>0</v>
      </c>
      <c r="Y24">
        <v>0</v>
      </c>
      <c r="Z24" t="s">
        <v>121</v>
      </c>
      <c r="AA24" t="s">
        <v>122</v>
      </c>
      <c r="AB24" s="7">
        <v>0.08</v>
      </c>
      <c r="AC24" s="7" t="s">
        <v>80</v>
      </c>
      <c r="AD24">
        <v>0.06</v>
      </c>
      <c r="AE24" t="s">
        <v>73</v>
      </c>
      <c r="AF24" t="s">
        <v>73</v>
      </c>
      <c r="AG24">
        <v>153</v>
      </c>
      <c r="AI24" t="s">
        <v>73</v>
      </c>
      <c r="AJ24">
        <v>154</v>
      </c>
      <c r="AK24" t="s">
        <v>73</v>
      </c>
      <c r="AL24">
        <v>691</v>
      </c>
      <c r="AM24">
        <v>691</v>
      </c>
      <c r="AN24" t="s">
        <v>123</v>
      </c>
      <c r="AO24">
        <v>3</v>
      </c>
      <c r="AP24">
        <f t="shared" si="13"/>
        <v>1.3333333333333335</v>
      </c>
      <c r="AQ24" t="s">
        <v>73</v>
      </c>
      <c r="AR24" t="s">
        <v>73</v>
      </c>
      <c r="AS24">
        <v>1</v>
      </c>
      <c r="AT24">
        <v>0</v>
      </c>
      <c r="AU24">
        <v>1</v>
      </c>
      <c r="AV24">
        <v>1</v>
      </c>
      <c r="AW24">
        <v>1</v>
      </c>
      <c r="AX24">
        <v>0</v>
      </c>
      <c r="AY24" t="s">
        <v>124</v>
      </c>
      <c r="AZ24">
        <v>16.23</v>
      </c>
      <c r="BA24" t="s">
        <v>73</v>
      </c>
      <c r="BB24">
        <v>1</v>
      </c>
      <c r="BC24">
        <v>1</v>
      </c>
      <c r="BD24" t="s">
        <v>83</v>
      </c>
      <c r="BE24" t="s">
        <v>83</v>
      </c>
      <c r="BF24" t="s">
        <v>73</v>
      </c>
      <c r="BG24" t="s">
        <v>79</v>
      </c>
      <c r="BH24" t="s">
        <v>79</v>
      </c>
      <c r="BI24" s="30">
        <f t="shared" ref="BI24:BI32" si="14">(((AP24^2)/(AP24^2+AL24))^1/2)</f>
        <v>1.2830793905372897E-3</v>
      </c>
      <c r="BJ24" s="30">
        <f t="shared" ref="BJ24:BJ32" si="15">(((AP24^2)/(AP24^2+AM24))^1/2)</f>
        <v>1.2830793905372897E-3</v>
      </c>
      <c r="BK24" s="30">
        <f t="shared" si="9"/>
        <v>1.283080094646139E-3</v>
      </c>
      <c r="BL24" s="30">
        <f t="shared" si="10"/>
        <v>1.4492753623149127E-3</v>
      </c>
      <c r="BM24" s="30">
        <f t="shared" si="11"/>
        <v>1.4534883720930232E-3</v>
      </c>
      <c r="BO24" t="s">
        <v>87</v>
      </c>
    </row>
    <row r="25" spans="1:67" hidden="1">
      <c r="A25" t="s">
        <v>68</v>
      </c>
      <c r="B25">
        <v>24</v>
      </c>
      <c r="C25">
        <v>1005</v>
      </c>
      <c r="D25" t="s">
        <v>116</v>
      </c>
      <c r="E25" t="s">
        <v>117</v>
      </c>
      <c r="F25" t="s">
        <v>118</v>
      </c>
      <c r="G25" t="s">
        <v>119</v>
      </c>
      <c r="H25" t="s">
        <v>73</v>
      </c>
      <c r="J25" t="s">
        <v>120</v>
      </c>
      <c r="K25" t="s">
        <v>76</v>
      </c>
      <c r="L25">
        <v>1</v>
      </c>
      <c r="M25">
        <v>0</v>
      </c>
      <c r="N25">
        <v>0</v>
      </c>
      <c r="O25">
        <v>1</v>
      </c>
      <c r="P25">
        <v>0</v>
      </c>
      <c r="Q25">
        <v>0</v>
      </c>
      <c r="R25">
        <v>0</v>
      </c>
      <c r="S25">
        <v>1</v>
      </c>
      <c r="T25">
        <v>0</v>
      </c>
      <c r="U25">
        <v>0</v>
      </c>
      <c r="V25">
        <v>0</v>
      </c>
      <c r="W25">
        <v>0</v>
      </c>
      <c r="X25">
        <v>0</v>
      </c>
      <c r="Y25">
        <v>0</v>
      </c>
      <c r="Z25" t="s">
        <v>121</v>
      </c>
      <c r="AA25" t="s">
        <v>122</v>
      </c>
      <c r="AB25" s="7">
        <v>0.03</v>
      </c>
      <c r="AC25" s="7" t="s">
        <v>86</v>
      </c>
      <c r="AD25">
        <v>0.03</v>
      </c>
      <c r="AE25" t="s">
        <v>73</v>
      </c>
      <c r="AF25" t="s">
        <v>73</v>
      </c>
      <c r="AG25">
        <v>153</v>
      </c>
      <c r="AI25" t="s">
        <v>73</v>
      </c>
      <c r="AJ25">
        <v>154</v>
      </c>
      <c r="AK25" t="s">
        <v>73</v>
      </c>
      <c r="AL25">
        <v>691</v>
      </c>
      <c r="AM25">
        <v>691</v>
      </c>
      <c r="AN25" t="s">
        <v>123</v>
      </c>
      <c r="AO25">
        <v>3</v>
      </c>
      <c r="AP25">
        <f t="shared" si="13"/>
        <v>1</v>
      </c>
      <c r="AQ25" t="s">
        <v>73</v>
      </c>
      <c r="AR25" t="s">
        <v>73</v>
      </c>
      <c r="AS25">
        <v>1</v>
      </c>
      <c r="AT25">
        <v>0</v>
      </c>
      <c r="AU25">
        <v>1</v>
      </c>
      <c r="AV25">
        <v>1</v>
      </c>
      <c r="AW25">
        <v>1</v>
      </c>
      <c r="AX25">
        <v>0</v>
      </c>
      <c r="AY25" t="s">
        <v>124</v>
      </c>
      <c r="AZ25">
        <v>16.23</v>
      </c>
      <c r="BA25" t="s">
        <v>73</v>
      </c>
      <c r="BB25">
        <v>1</v>
      </c>
      <c r="BC25">
        <v>1</v>
      </c>
      <c r="BD25" t="s">
        <v>83</v>
      </c>
      <c r="BE25" t="s">
        <v>83</v>
      </c>
      <c r="BF25" t="s">
        <v>73</v>
      </c>
      <c r="BG25" t="s">
        <v>79</v>
      </c>
      <c r="BH25" t="s">
        <v>79</v>
      </c>
      <c r="BI25" s="30">
        <f t="shared" si="14"/>
        <v>7.2254335260115603E-4</v>
      </c>
      <c r="BJ25" s="30">
        <f>- (((AP25^2)/(AP25^2+AM25))^1/2)</f>
        <v>-7.2254335260115603E-4</v>
      </c>
      <c r="BK25" s="30">
        <f t="shared" si="9"/>
        <v>-7.2254347834034267E-4</v>
      </c>
      <c r="BL25" s="30">
        <f t="shared" si="10"/>
        <v>1.4492753623184455E-3</v>
      </c>
      <c r="BM25" s="30">
        <f t="shared" si="11"/>
        <v>1.4534883720930232E-3</v>
      </c>
      <c r="BO25" t="s">
        <v>87</v>
      </c>
    </row>
    <row r="26" spans="1:67" hidden="1">
      <c r="A26" t="s">
        <v>68</v>
      </c>
      <c r="B26">
        <v>25</v>
      </c>
      <c r="C26">
        <v>1005</v>
      </c>
      <c r="D26" t="s">
        <v>116</v>
      </c>
      <c r="E26" t="s">
        <v>117</v>
      </c>
      <c r="F26" t="s">
        <v>118</v>
      </c>
      <c r="G26" t="s">
        <v>119</v>
      </c>
      <c r="H26" t="s">
        <v>73</v>
      </c>
      <c r="J26" t="s">
        <v>120</v>
      </c>
      <c r="K26" t="s">
        <v>76</v>
      </c>
      <c r="L26">
        <v>1</v>
      </c>
      <c r="M26">
        <v>0</v>
      </c>
      <c r="N26">
        <v>0</v>
      </c>
      <c r="O26">
        <v>1</v>
      </c>
      <c r="P26">
        <v>0</v>
      </c>
      <c r="Q26">
        <v>0</v>
      </c>
      <c r="R26">
        <v>0</v>
      </c>
      <c r="S26">
        <v>0</v>
      </c>
      <c r="T26">
        <v>0</v>
      </c>
      <c r="U26">
        <v>0</v>
      </c>
      <c r="V26">
        <v>0</v>
      </c>
      <c r="W26">
        <v>0</v>
      </c>
      <c r="X26">
        <v>1</v>
      </c>
      <c r="Y26">
        <v>0</v>
      </c>
      <c r="Z26" t="s">
        <v>125</v>
      </c>
      <c r="AA26" t="s">
        <v>122</v>
      </c>
      <c r="AB26" s="7">
        <v>0.13</v>
      </c>
      <c r="AC26" s="7" t="s">
        <v>80</v>
      </c>
      <c r="AD26">
        <v>0.05</v>
      </c>
      <c r="AE26" t="s">
        <v>73</v>
      </c>
      <c r="AF26" t="s">
        <v>73</v>
      </c>
      <c r="AG26">
        <v>153</v>
      </c>
      <c r="AI26" t="s">
        <v>73</v>
      </c>
      <c r="AJ26">
        <v>384</v>
      </c>
      <c r="AK26" t="s">
        <v>73</v>
      </c>
      <c r="AL26">
        <v>691</v>
      </c>
      <c r="AM26">
        <v>691</v>
      </c>
      <c r="AN26" t="s">
        <v>123</v>
      </c>
      <c r="AO26">
        <v>3</v>
      </c>
      <c r="AP26">
        <f t="shared" si="13"/>
        <v>2.6</v>
      </c>
      <c r="AQ26" t="s">
        <v>73</v>
      </c>
      <c r="AR26" t="s">
        <v>73</v>
      </c>
      <c r="AS26">
        <v>1</v>
      </c>
      <c r="AT26">
        <v>0</v>
      </c>
      <c r="AU26">
        <v>1</v>
      </c>
      <c r="AV26">
        <v>1</v>
      </c>
      <c r="AW26">
        <v>1</v>
      </c>
      <c r="AX26">
        <v>0</v>
      </c>
      <c r="AY26" t="s">
        <v>124</v>
      </c>
      <c r="AZ26">
        <v>16.23</v>
      </c>
      <c r="BA26" t="s">
        <v>73</v>
      </c>
      <c r="BB26">
        <v>1</v>
      </c>
      <c r="BC26">
        <v>1</v>
      </c>
      <c r="BD26" t="s">
        <v>83</v>
      </c>
      <c r="BE26" t="s">
        <v>83</v>
      </c>
      <c r="BF26" t="s">
        <v>73</v>
      </c>
      <c r="BG26" t="s">
        <v>79</v>
      </c>
      <c r="BH26" t="s">
        <v>79</v>
      </c>
      <c r="BI26" s="30">
        <f t="shared" si="14"/>
        <v>4.8440724604448529E-3</v>
      </c>
      <c r="BJ26" s="30">
        <f t="shared" si="15"/>
        <v>4.8440724604448529E-3</v>
      </c>
      <c r="BK26" s="30">
        <f t="shared" si="9"/>
        <v>4.8441103497597737E-3</v>
      </c>
      <c r="BL26" s="30">
        <f t="shared" si="10"/>
        <v>1.4492753615208331E-3</v>
      </c>
      <c r="BM26" s="30">
        <f t="shared" si="11"/>
        <v>1.4534883720930232E-3</v>
      </c>
      <c r="BO26" t="s">
        <v>84</v>
      </c>
    </row>
    <row r="27" spans="1:67" hidden="1">
      <c r="A27" t="s">
        <v>68</v>
      </c>
      <c r="B27">
        <v>26</v>
      </c>
      <c r="C27">
        <v>1005</v>
      </c>
      <c r="D27" t="s">
        <v>116</v>
      </c>
      <c r="E27" t="s">
        <v>117</v>
      </c>
      <c r="F27" t="s">
        <v>118</v>
      </c>
      <c r="G27" t="s">
        <v>119</v>
      </c>
      <c r="H27" t="s">
        <v>73</v>
      </c>
      <c r="J27" t="s">
        <v>120</v>
      </c>
      <c r="K27" t="s">
        <v>76</v>
      </c>
      <c r="L27">
        <v>1</v>
      </c>
      <c r="M27">
        <v>0</v>
      </c>
      <c r="N27">
        <v>0</v>
      </c>
      <c r="O27">
        <v>1</v>
      </c>
      <c r="P27">
        <v>0</v>
      </c>
      <c r="Q27">
        <v>0</v>
      </c>
      <c r="R27">
        <v>0</v>
      </c>
      <c r="S27">
        <v>0</v>
      </c>
      <c r="T27">
        <v>0</v>
      </c>
      <c r="U27">
        <v>1</v>
      </c>
      <c r="V27">
        <v>0</v>
      </c>
      <c r="W27">
        <v>0</v>
      </c>
      <c r="X27">
        <v>0</v>
      </c>
      <c r="Y27">
        <v>0</v>
      </c>
      <c r="Z27" t="s">
        <v>125</v>
      </c>
      <c r="AA27" t="s">
        <v>122</v>
      </c>
      <c r="AB27" s="7">
        <v>0.15</v>
      </c>
      <c r="AC27" s="7" t="s">
        <v>80</v>
      </c>
      <c r="AD27">
        <v>0.05</v>
      </c>
      <c r="AE27" t="s">
        <v>73</v>
      </c>
      <c r="AF27" t="s">
        <v>73</v>
      </c>
      <c r="AG27">
        <v>153</v>
      </c>
      <c r="AI27" t="s">
        <v>73</v>
      </c>
      <c r="AJ27">
        <v>384</v>
      </c>
      <c r="AK27" t="s">
        <v>73</v>
      </c>
      <c r="AL27">
        <v>691</v>
      </c>
      <c r="AM27">
        <v>691</v>
      </c>
      <c r="AN27" t="s">
        <v>123</v>
      </c>
      <c r="AO27">
        <v>3</v>
      </c>
      <c r="AP27">
        <f t="shared" si="13"/>
        <v>2.9999999999999996</v>
      </c>
      <c r="AQ27" t="s">
        <v>73</v>
      </c>
      <c r="AR27" t="s">
        <v>73</v>
      </c>
      <c r="AS27">
        <v>1</v>
      </c>
      <c r="AT27">
        <v>0</v>
      </c>
      <c r="AU27">
        <v>1</v>
      </c>
      <c r="AV27">
        <v>1</v>
      </c>
      <c r="AW27">
        <v>1</v>
      </c>
      <c r="AX27">
        <v>0</v>
      </c>
      <c r="AY27" t="s">
        <v>124</v>
      </c>
      <c r="AZ27">
        <v>16.23</v>
      </c>
      <c r="BA27" t="s">
        <v>73</v>
      </c>
      <c r="BB27">
        <v>1</v>
      </c>
      <c r="BC27">
        <v>1</v>
      </c>
      <c r="BD27" t="s">
        <v>83</v>
      </c>
      <c r="BE27" t="s">
        <v>83</v>
      </c>
      <c r="BF27" t="s">
        <v>73</v>
      </c>
      <c r="BG27" t="s">
        <v>79</v>
      </c>
      <c r="BH27" t="s">
        <v>79</v>
      </c>
      <c r="BI27" s="30">
        <f t="shared" si="14"/>
        <v>6.4285714285714259E-3</v>
      </c>
      <c r="BJ27" s="30">
        <f t="shared" si="15"/>
        <v>6.4285714285714259E-3</v>
      </c>
      <c r="BK27" s="30">
        <f t="shared" si="9"/>
        <v>6.4286599876186967E-3</v>
      </c>
      <c r="BL27" s="30">
        <f t="shared" si="10"/>
        <v>1.4492753598435127E-3</v>
      </c>
      <c r="BM27" s="30">
        <f t="shared" si="11"/>
        <v>1.4534883720930232E-3</v>
      </c>
      <c r="BO27" t="s">
        <v>84</v>
      </c>
    </row>
    <row r="28" spans="1:67" hidden="1">
      <c r="A28" t="s">
        <v>68</v>
      </c>
      <c r="B28">
        <v>27</v>
      </c>
      <c r="C28">
        <v>1005</v>
      </c>
      <c r="D28" t="s">
        <v>116</v>
      </c>
      <c r="E28" t="s">
        <v>117</v>
      </c>
      <c r="F28" t="s">
        <v>118</v>
      </c>
      <c r="G28" t="s">
        <v>119</v>
      </c>
      <c r="H28" t="s">
        <v>73</v>
      </c>
      <c r="J28" t="s">
        <v>120</v>
      </c>
      <c r="K28" t="s">
        <v>76</v>
      </c>
      <c r="L28">
        <v>1</v>
      </c>
      <c r="M28">
        <v>0</v>
      </c>
      <c r="N28">
        <v>0</v>
      </c>
      <c r="O28">
        <v>1</v>
      </c>
      <c r="P28">
        <v>0</v>
      </c>
      <c r="Q28">
        <v>0</v>
      </c>
      <c r="R28">
        <v>0</v>
      </c>
      <c r="S28">
        <v>1</v>
      </c>
      <c r="T28">
        <v>0</v>
      </c>
      <c r="U28">
        <v>0</v>
      </c>
      <c r="V28">
        <v>0</v>
      </c>
      <c r="W28">
        <v>0</v>
      </c>
      <c r="X28">
        <v>0</v>
      </c>
      <c r="Y28">
        <v>0</v>
      </c>
      <c r="Z28" t="s">
        <v>125</v>
      </c>
      <c r="AA28" t="s">
        <v>122</v>
      </c>
      <c r="AB28" s="7">
        <v>0.08</v>
      </c>
      <c r="AC28" s="7" t="s">
        <v>80</v>
      </c>
      <c r="AD28">
        <v>0.03</v>
      </c>
      <c r="AE28" t="s">
        <v>73</v>
      </c>
      <c r="AF28" t="s">
        <v>73</v>
      </c>
      <c r="AG28">
        <v>153</v>
      </c>
      <c r="AI28" t="s">
        <v>73</v>
      </c>
      <c r="AJ28">
        <v>384</v>
      </c>
      <c r="AK28" t="s">
        <v>73</v>
      </c>
      <c r="AL28">
        <v>691</v>
      </c>
      <c r="AM28">
        <v>691</v>
      </c>
      <c r="AN28" t="s">
        <v>123</v>
      </c>
      <c r="AO28">
        <v>3</v>
      </c>
      <c r="AP28">
        <f t="shared" si="13"/>
        <v>2.666666666666667</v>
      </c>
      <c r="AQ28" t="s">
        <v>73</v>
      </c>
      <c r="AR28" t="s">
        <v>73</v>
      </c>
      <c r="AS28">
        <v>1</v>
      </c>
      <c r="AT28">
        <v>0</v>
      </c>
      <c r="AU28">
        <v>1</v>
      </c>
      <c r="AV28">
        <v>1</v>
      </c>
      <c r="AW28">
        <v>1</v>
      </c>
      <c r="AX28">
        <v>0</v>
      </c>
      <c r="AY28" t="s">
        <v>124</v>
      </c>
      <c r="AZ28">
        <v>16.23</v>
      </c>
      <c r="BA28" t="s">
        <v>73</v>
      </c>
      <c r="BB28">
        <v>1</v>
      </c>
      <c r="BC28">
        <v>1</v>
      </c>
      <c r="BD28" t="s">
        <v>83</v>
      </c>
      <c r="BE28" t="s">
        <v>83</v>
      </c>
      <c r="BF28" t="s">
        <v>73</v>
      </c>
      <c r="BG28" t="s">
        <v>79</v>
      </c>
      <c r="BH28" t="s">
        <v>79</v>
      </c>
      <c r="BI28" s="30">
        <f t="shared" si="14"/>
        <v>5.0931083877128773E-3</v>
      </c>
      <c r="BJ28" s="30">
        <f t="shared" si="15"/>
        <v>5.0931083877128773E-3</v>
      </c>
      <c r="BK28" s="30">
        <f t="shared" si="9"/>
        <v>5.0931524263895488E-3</v>
      </c>
      <c r="BL28" s="30">
        <f t="shared" si="10"/>
        <v>1.4492753613436318E-3</v>
      </c>
      <c r="BM28" s="30">
        <f t="shared" si="11"/>
        <v>1.4534883720930232E-3</v>
      </c>
      <c r="BO28" t="s">
        <v>84</v>
      </c>
    </row>
    <row r="29" spans="1:67" s="42" customFormat="1">
      <c r="A29" s="42" t="s">
        <v>68</v>
      </c>
      <c r="B29" s="42">
        <v>28</v>
      </c>
      <c r="C29" s="42">
        <v>1006</v>
      </c>
      <c r="D29" s="42" t="s">
        <v>126</v>
      </c>
      <c r="E29" s="46" t="s">
        <v>127</v>
      </c>
      <c r="F29" s="42" t="s">
        <v>128</v>
      </c>
      <c r="G29" s="42" t="s">
        <v>129</v>
      </c>
      <c r="H29" s="42" t="s">
        <v>73</v>
      </c>
      <c r="I29" s="42">
        <v>222</v>
      </c>
      <c r="J29" s="42" t="s">
        <v>120</v>
      </c>
      <c r="K29" s="42" t="s">
        <v>94</v>
      </c>
      <c r="L29" s="42">
        <v>1</v>
      </c>
      <c r="M29" s="42">
        <v>0</v>
      </c>
      <c r="N29" s="42">
        <v>1</v>
      </c>
      <c r="O29" s="42">
        <v>0</v>
      </c>
      <c r="P29" s="42">
        <v>0</v>
      </c>
      <c r="Q29" s="42">
        <v>0</v>
      </c>
      <c r="R29" s="42">
        <v>0</v>
      </c>
      <c r="S29" s="42">
        <v>0</v>
      </c>
      <c r="T29" s="42">
        <v>1</v>
      </c>
      <c r="U29" s="42">
        <v>0</v>
      </c>
      <c r="V29" s="42">
        <v>0</v>
      </c>
      <c r="W29" s="42">
        <v>0</v>
      </c>
      <c r="X29" s="42">
        <v>0</v>
      </c>
      <c r="Y29" s="42">
        <v>0</v>
      </c>
      <c r="Z29" s="42" t="s">
        <v>73</v>
      </c>
      <c r="AA29" s="42" t="s">
        <v>130</v>
      </c>
      <c r="AB29" s="49">
        <v>11.4</v>
      </c>
      <c r="AC29" s="49" t="s">
        <v>86</v>
      </c>
      <c r="AD29" s="42">
        <v>0.7</v>
      </c>
      <c r="AE29" s="42" t="s">
        <v>73</v>
      </c>
      <c r="AF29" s="42" t="s">
        <v>73</v>
      </c>
      <c r="AG29" s="42" t="s">
        <v>73</v>
      </c>
      <c r="AH29" s="42" t="s">
        <v>73</v>
      </c>
      <c r="AI29" s="42" t="s">
        <v>73</v>
      </c>
      <c r="AJ29" s="42" t="s">
        <v>73</v>
      </c>
      <c r="AK29" s="42" t="s">
        <v>73</v>
      </c>
      <c r="AL29" s="42">
        <v>957080</v>
      </c>
      <c r="AM29" s="42">
        <v>957080</v>
      </c>
      <c r="AN29" s="42">
        <v>0.05</v>
      </c>
      <c r="AO29" s="42">
        <v>3</v>
      </c>
      <c r="AP29" s="42">
        <f>AB29/AD29</f>
        <v>16.285714285714288</v>
      </c>
      <c r="AQ29" s="42" t="s">
        <v>73</v>
      </c>
      <c r="AR29" s="42" t="s">
        <v>73</v>
      </c>
      <c r="AS29" s="42">
        <v>1</v>
      </c>
      <c r="AT29" s="42">
        <v>0</v>
      </c>
      <c r="AU29" s="42">
        <v>1</v>
      </c>
      <c r="AV29" s="42">
        <v>1</v>
      </c>
      <c r="AW29" s="42">
        <v>1</v>
      </c>
      <c r="AX29" s="42">
        <v>1</v>
      </c>
      <c r="AY29" s="42" t="s">
        <v>131</v>
      </c>
      <c r="AZ29" s="41">
        <f>395/30.417</f>
        <v>12.986159055791168</v>
      </c>
      <c r="BA29" s="42" t="s">
        <v>73</v>
      </c>
      <c r="BB29" s="42">
        <v>0</v>
      </c>
      <c r="BC29" s="42">
        <v>1</v>
      </c>
      <c r="BD29" s="42" t="s">
        <v>83</v>
      </c>
      <c r="BE29" s="42" t="s">
        <v>83</v>
      </c>
      <c r="BF29" s="42" t="s">
        <v>73</v>
      </c>
      <c r="BG29" s="53">
        <f xml:space="preserve"> 23 * 4.345</f>
        <v>99.934999999999988</v>
      </c>
      <c r="BH29" s="42">
        <v>0</v>
      </c>
      <c r="BI29" s="52">
        <f t="shared" si="14"/>
        <v>1.3852081935085967E-4</v>
      </c>
      <c r="BJ29" s="52">
        <f>- (((AP29^2)/(AP29^2+AM29))^1/2)</f>
        <v>-1.3852081935085967E-4</v>
      </c>
      <c r="BK29" s="52">
        <f t="shared" si="9"/>
        <v>-1.3852082023689679E-4</v>
      </c>
      <c r="BL29" s="52">
        <f t="shared" si="10"/>
        <v>1.0448458277738824E-6</v>
      </c>
      <c r="BM29" s="52">
        <f t="shared" si="11"/>
        <v>1.0448480111840532E-6</v>
      </c>
      <c r="BO29" s="42" t="s">
        <v>84</v>
      </c>
    </row>
    <row r="30" spans="1:67" s="42" customFormat="1">
      <c r="A30" s="42" t="s">
        <v>68</v>
      </c>
      <c r="B30" s="42">
        <f>B29+1</f>
        <v>29</v>
      </c>
      <c r="C30" s="42">
        <v>1006</v>
      </c>
      <c r="D30" s="42" t="s">
        <v>126</v>
      </c>
      <c r="E30" s="46" t="s">
        <v>127</v>
      </c>
      <c r="F30" s="42" t="s">
        <v>128</v>
      </c>
      <c r="G30" s="42" t="s">
        <v>129</v>
      </c>
      <c r="H30" s="42" t="s">
        <v>73</v>
      </c>
      <c r="I30" s="42">
        <v>222</v>
      </c>
      <c r="J30" s="42" t="s">
        <v>120</v>
      </c>
      <c r="K30" s="42" t="s">
        <v>94</v>
      </c>
      <c r="L30" s="42">
        <v>1</v>
      </c>
      <c r="M30" s="42">
        <v>0</v>
      </c>
      <c r="N30" s="42">
        <v>1</v>
      </c>
      <c r="O30" s="42">
        <v>0</v>
      </c>
      <c r="P30" s="42">
        <v>0</v>
      </c>
      <c r="Q30" s="42">
        <v>0</v>
      </c>
      <c r="R30" s="42">
        <v>0</v>
      </c>
      <c r="S30" s="42">
        <v>0</v>
      </c>
      <c r="T30" s="42">
        <v>1</v>
      </c>
      <c r="U30" s="42">
        <v>0</v>
      </c>
      <c r="V30" s="42">
        <v>0</v>
      </c>
      <c r="W30" s="42">
        <v>0</v>
      </c>
      <c r="X30" s="42">
        <v>0</v>
      </c>
      <c r="Y30" s="42">
        <v>0</v>
      </c>
      <c r="Z30" s="42" t="s">
        <v>73</v>
      </c>
      <c r="AA30" s="42" t="s">
        <v>130</v>
      </c>
      <c r="AB30" s="49">
        <v>11.9</v>
      </c>
      <c r="AC30" s="49" t="s">
        <v>86</v>
      </c>
      <c r="AD30" s="42">
        <v>0.75</v>
      </c>
      <c r="AE30" s="42" t="s">
        <v>73</v>
      </c>
      <c r="AF30" s="42" t="s">
        <v>73</v>
      </c>
      <c r="AG30" s="42" t="s">
        <v>73</v>
      </c>
      <c r="AH30" s="42" t="s">
        <v>73</v>
      </c>
      <c r="AI30" s="42" t="s">
        <v>73</v>
      </c>
      <c r="AJ30" s="42" t="s">
        <v>73</v>
      </c>
      <c r="AK30" s="42" t="s">
        <v>73</v>
      </c>
      <c r="AL30" s="42">
        <v>957080</v>
      </c>
      <c r="AM30" s="42">
        <v>957080</v>
      </c>
      <c r="AN30" s="42">
        <v>0.05</v>
      </c>
      <c r="AO30" s="42">
        <v>3</v>
      </c>
      <c r="AP30" s="42">
        <f>AB30/AD30</f>
        <v>15.866666666666667</v>
      </c>
      <c r="AQ30" s="42" t="s">
        <v>73</v>
      </c>
      <c r="AR30" s="42" t="s">
        <v>73</v>
      </c>
      <c r="AS30" s="42">
        <v>1</v>
      </c>
      <c r="AT30" s="42">
        <v>0</v>
      </c>
      <c r="AU30" s="42">
        <v>1</v>
      </c>
      <c r="AV30" s="42">
        <v>1</v>
      </c>
      <c r="AW30" s="42">
        <v>1</v>
      </c>
      <c r="AX30" s="42">
        <v>1</v>
      </c>
      <c r="AY30" s="42" t="s">
        <v>131</v>
      </c>
      <c r="AZ30" s="41">
        <f>395/30.417</f>
        <v>12.986159055791168</v>
      </c>
      <c r="BA30" s="42" t="s">
        <v>73</v>
      </c>
      <c r="BB30" s="42">
        <v>0</v>
      </c>
      <c r="BC30" s="42">
        <v>1</v>
      </c>
      <c r="BD30" s="42" t="s">
        <v>83</v>
      </c>
      <c r="BE30" s="42" t="s">
        <v>83</v>
      </c>
      <c r="BF30" s="42" t="s">
        <v>73</v>
      </c>
      <c r="BG30" s="53">
        <f xml:space="preserve"> 23 * 4.345</f>
        <v>99.934999999999988</v>
      </c>
      <c r="BH30" s="42">
        <v>0</v>
      </c>
      <c r="BI30" s="52">
        <f t="shared" si="14"/>
        <v>1.3148582548260852E-4</v>
      </c>
      <c r="BJ30" s="52">
        <f>- (((AP30^2)/(AP30^2+AM30))^1/2)</f>
        <v>-1.3148582548260852E-4</v>
      </c>
      <c r="BK30" s="52">
        <f t="shared" si="9"/>
        <v>-1.3148582624031952E-4</v>
      </c>
      <c r="BL30" s="52">
        <f t="shared" si="10"/>
        <v>1.0448458277738824E-6</v>
      </c>
      <c r="BM30" s="52">
        <f t="shared" si="11"/>
        <v>1.0448480111840532E-6</v>
      </c>
      <c r="BO30" s="42" t="s">
        <v>84</v>
      </c>
    </row>
    <row r="31" spans="1:67" s="42" customFormat="1">
      <c r="A31" s="42" t="s">
        <v>68</v>
      </c>
      <c r="B31" s="42">
        <f>B30+1</f>
        <v>30</v>
      </c>
      <c r="C31" s="42">
        <v>1006</v>
      </c>
      <c r="D31" s="42" t="s">
        <v>126</v>
      </c>
      <c r="E31" s="46" t="s">
        <v>127</v>
      </c>
      <c r="F31" s="42" t="s">
        <v>128</v>
      </c>
      <c r="G31" s="42" t="s">
        <v>129</v>
      </c>
      <c r="H31" s="42" t="s">
        <v>73</v>
      </c>
      <c r="I31" s="42">
        <v>222</v>
      </c>
      <c r="J31" s="42" t="s">
        <v>120</v>
      </c>
      <c r="K31" s="42" t="s">
        <v>94</v>
      </c>
      <c r="L31" s="42">
        <v>1</v>
      </c>
      <c r="M31" s="42">
        <v>0</v>
      </c>
      <c r="N31" s="42">
        <v>1</v>
      </c>
      <c r="O31" s="42">
        <v>0</v>
      </c>
      <c r="P31" s="42">
        <v>0</v>
      </c>
      <c r="Q31" s="42">
        <v>0</v>
      </c>
      <c r="R31" s="42">
        <v>0</v>
      </c>
      <c r="S31" s="42">
        <v>0</v>
      </c>
      <c r="T31" s="42">
        <v>0</v>
      </c>
      <c r="U31" s="42">
        <v>0</v>
      </c>
      <c r="V31" s="42">
        <v>0</v>
      </c>
      <c r="W31" s="42">
        <v>0</v>
      </c>
      <c r="X31" s="42">
        <v>1</v>
      </c>
      <c r="Y31" s="42">
        <v>0</v>
      </c>
      <c r="Z31" s="42" t="s">
        <v>73</v>
      </c>
      <c r="AA31" s="42" t="s">
        <v>130</v>
      </c>
      <c r="AB31" s="49">
        <v>1.4</v>
      </c>
      <c r="AC31" s="49" t="s">
        <v>80</v>
      </c>
      <c r="AD31" s="42">
        <v>1.2</v>
      </c>
      <c r="AE31" s="42" t="s">
        <v>73</v>
      </c>
      <c r="AF31" s="42" t="s">
        <v>73</v>
      </c>
      <c r="AG31" s="42" t="s">
        <v>73</v>
      </c>
      <c r="AH31" s="42" t="s">
        <v>73</v>
      </c>
      <c r="AI31" s="42" t="s">
        <v>73</v>
      </c>
      <c r="AJ31" s="42" t="s">
        <v>73</v>
      </c>
      <c r="AK31" s="42" t="s">
        <v>73</v>
      </c>
      <c r="AL31" s="42">
        <v>957080</v>
      </c>
      <c r="AM31" s="42">
        <v>957080</v>
      </c>
      <c r="AN31" s="42">
        <v>0.1</v>
      </c>
      <c r="AO31" s="42">
        <v>3</v>
      </c>
      <c r="AP31" s="42">
        <f>AB31/AD31</f>
        <v>1.1666666666666667</v>
      </c>
      <c r="AQ31" s="42" t="s">
        <v>73</v>
      </c>
      <c r="AR31" s="42" t="s">
        <v>73</v>
      </c>
      <c r="AS31" s="42">
        <v>1</v>
      </c>
      <c r="AT31" s="42">
        <v>0</v>
      </c>
      <c r="AU31" s="42">
        <v>1</v>
      </c>
      <c r="AV31" s="42">
        <v>1</v>
      </c>
      <c r="AW31" s="42">
        <v>1</v>
      </c>
      <c r="AX31" s="42">
        <v>1</v>
      </c>
      <c r="AY31" s="42" t="s">
        <v>131</v>
      </c>
      <c r="AZ31" s="42">
        <f>153/30.417</f>
        <v>5.030081862116579</v>
      </c>
      <c r="BA31" s="42" t="s">
        <v>73</v>
      </c>
      <c r="BB31" s="42">
        <v>0</v>
      </c>
      <c r="BC31" s="42">
        <v>1</v>
      </c>
      <c r="BD31" s="42" t="s">
        <v>83</v>
      </c>
      <c r="BE31" s="42" t="s">
        <v>83</v>
      </c>
      <c r="BF31" s="42" t="s">
        <v>73</v>
      </c>
      <c r="BG31" s="53">
        <f xml:space="preserve"> 23 * 4.345</f>
        <v>99.934999999999988</v>
      </c>
      <c r="BH31" s="42">
        <v>0</v>
      </c>
      <c r="BI31" s="52">
        <f t="shared" si="14"/>
        <v>7.1107387857336768E-7</v>
      </c>
      <c r="BJ31" s="52">
        <f t="shared" si="15"/>
        <v>7.1107387857336768E-7</v>
      </c>
      <c r="BK31" s="52">
        <f t="shared" si="9"/>
        <v>7.1107387863679901E-7</v>
      </c>
      <c r="BL31" s="52">
        <f t="shared" si="10"/>
        <v>1.0448458277738828E-6</v>
      </c>
      <c r="BM31" s="52">
        <f t="shared" si="11"/>
        <v>1.0448480111840532E-6</v>
      </c>
      <c r="BO31" s="42" t="s">
        <v>87</v>
      </c>
    </row>
    <row r="32" spans="1:67" s="42" customFormat="1">
      <c r="A32" s="42" t="s">
        <v>68</v>
      </c>
      <c r="B32" s="42">
        <v>31</v>
      </c>
      <c r="C32" s="42">
        <v>1006</v>
      </c>
      <c r="D32" s="42" t="s">
        <v>126</v>
      </c>
      <c r="E32" s="46" t="s">
        <v>127</v>
      </c>
      <c r="F32" s="42" t="s">
        <v>128</v>
      </c>
      <c r="G32" s="42" t="s">
        <v>129</v>
      </c>
      <c r="H32" s="42" t="s">
        <v>73</v>
      </c>
      <c r="I32" s="42">
        <v>222</v>
      </c>
      <c r="J32" s="42" t="s">
        <v>120</v>
      </c>
      <c r="K32" s="42" t="s">
        <v>94</v>
      </c>
      <c r="L32" s="42">
        <v>1</v>
      </c>
      <c r="M32" s="42">
        <v>0</v>
      </c>
      <c r="N32" s="42">
        <v>1</v>
      </c>
      <c r="O32" s="42">
        <v>0</v>
      </c>
      <c r="P32" s="42">
        <v>0</v>
      </c>
      <c r="Q32" s="42">
        <v>0</v>
      </c>
      <c r="R32" s="42">
        <v>0</v>
      </c>
      <c r="S32" s="42">
        <v>0</v>
      </c>
      <c r="T32" s="42">
        <v>0</v>
      </c>
      <c r="U32" s="42">
        <v>0</v>
      </c>
      <c r="V32" s="42">
        <v>0</v>
      </c>
      <c r="W32" s="42">
        <v>0</v>
      </c>
      <c r="X32" s="42">
        <v>1</v>
      </c>
      <c r="Y32" s="42">
        <v>0</v>
      </c>
      <c r="Z32" s="42" t="s">
        <v>73</v>
      </c>
      <c r="AA32" s="42" t="s">
        <v>130</v>
      </c>
      <c r="AB32" s="49">
        <v>1.2</v>
      </c>
      <c r="AC32" s="49" t="s">
        <v>80</v>
      </c>
      <c r="AD32" s="42">
        <v>1.3</v>
      </c>
      <c r="AE32" s="42" t="s">
        <v>73</v>
      </c>
      <c r="AF32" s="42" t="s">
        <v>73</v>
      </c>
      <c r="AG32" s="42" t="s">
        <v>73</v>
      </c>
      <c r="AH32" s="42" t="s">
        <v>73</v>
      </c>
      <c r="AI32" s="42" t="s">
        <v>73</v>
      </c>
      <c r="AJ32" s="42" t="s">
        <v>73</v>
      </c>
      <c r="AK32" s="42" t="s">
        <v>73</v>
      </c>
      <c r="AL32" s="42">
        <v>957080</v>
      </c>
      <c r="AM32" s="42">
        <v>957080</v>
      </c>
      <c r="AN32" s="42">
        <v>0.1</v>
      </c>
      <c r="AO32" s="42">
        <v>3</v>
      </c>
      <c r="AP32" s="42">
        <f>AB32/AD32</f>
        <v>0.92307692307692302</v>
      </c>
      <c r="AQ32" s="42" t="s">
        <v>73</v>
      </c>
      <c r="AR32" s="42" t="s">
        <v>73</v>
      </c>
      <c r="AS32" s="42">
        <v>1</v>
      </c>
      <c r="AT32" s="42">
        <v>0</v>
      </c>
      <c r="AU32" s="42">
        <v>1</v>
      </c>
      <c r="AV32" s="42">
        <v>1</v>
      </c>
      <c r="AW32" s="42">
        <v>1</v>
      </c>
      <c r="AX32" s="42">
        <v>1</v>
      </c>
      <c r="AY32" s="42" t="s">
        <v>131</v>
      </c>
      <c r="AZ32" s="42">
        <f>153/30.417</f>
        <v>5.030081862116579</v>
      </c>
      <c r="BA32" s="42" t="s">
        <v>73</v>
      </c>
      <c r="BB32" s="42">
        <v>0</v>
      </c>
      <c r="BC32" s="42">
        <v>1</v>
      </c>
      <c r="BD32" s="42" t="s">
        <v>83</v>
      </c>
      <c r="BE32" s="42" t="s">
        <v>83</v>
      </c>
      <c r="BF32" s="42" t="s">
        <v>73</v>
      </c>
      <c r="BG32" s="53">
        <f xml:space="preserve"> 23 * 4.345</f>
        <v>99.934999999999988</v>
      </c>
      <c r="BH32" s="42">
        <v>0</v>
      </c>
      <c r="BI32" s="52">
        <f t="shared" si="14"/>
        <v>4.4514055634557005E-7</v>
      </c>
      <c r="BJ32" s="52">
        <f t="shared" si="15"/>
        <v>4.4514055634557005E-7</v>
      </c>
      <c r="BK32" s="52">
        <f t="shared" si="9"/>
        <v>4.4514055632903819E-7</v>
      </c>
      <c r="BL32" s="52">
        <f t="shared" si="10"/>
        <v>1.0448458277738828E-6</v>
      </c>
      <c r="BM32" s="52">
        <f t="shared" si="11"/>
        <v>1.0448480111840532E-6</v>
      </c>
      <c r="BO32" s="42" t="s">
        <v>87</v>
      </c>
    </row>
    <row r="33" spans="1:66" hidden="1">
      <c r="A33" t="s">
        <v>68</v>
      </c>
      <c r="B33">
        <v>32</v>
      </c>
      <c r="C33">
        <v>1007</v>
      </c>
      <c r="D33" t="s">
        <v>132</v>
      </c>
      <c r="E33" t="s">
        <v>133</v>
      </c>
      <c r="F33" t="s">
        <v>134</v>
      </c>
      <c r="G33" t="s">
        <v>135</v>
      </c>
      <c r="H33" s="32" t="s">
        <v>73</v>
      </c>
      <c r="I33">
        <v>25</v>
      </c>
      <c r="J33" t="s">
        <v>107</v>
      </c>
      <c r="K33" t="s">
        <v>76</v>
      </c>
      <c r="L33">
        <v>1</v>
      </c>
      <c r="M33">
        <v>0</v>
      </c>
      <c r="N33">
        <v>0</v>
      </c>
      <c r="O33">
        <v>0</v>
      </c>
      <c r="P33">
        <v>1</v>
      </c>
      <c r="Q33">
        <v>0</v>
      </c>
      <c r="R33">
        <v>1</v>
      </c>
      <c r="S33">
        <v>0</v>
      </c>
      <c r="T33">
        <v>0</v>
      </c>
      <c r="U33">
        <v>0</v>
      </c>
      <c r="V33">
        <v>0</v>
      </c>
      <c r="W33">
        <v>0</v>
      </c>
      <c r="X33">
        <v>0</v>
      </c>
      <c r="Y33">
        <v>0</v>
      </c>
      <c r="Z33" t="s">
        <v>136</v>
      </c>
      <c r="AA33" s="34" t="s">
        <v>137</v>
      </c>
      <c r="AB33" s="7" t="s">
        <v>73</v>
      </c>
      <c r="AC33" s="7" t="s">
        <v>80</v>
      </c>
      <c r="AD33" t="s">
        <v>73</v>
      </c>
      <c r="AE33">
        <v>0.21</v>
      </c>
      <c r="AF33" t="s">
        <v>73</v>
      </c>
      <c r="AG33">
        <v>19</v>
      </c>
      <c r="AH33" t="s">
        <v>73</v>
      </c>
      <c r="AI33" t="s">
        <v>73</v>
      </c>
      <c r="AJ33">
        <v>19</v>
      </c>
      <c r="AK33" t="s">
        <v>73</v>
      </c>
      <c r="AL33">
        <v>60</v>
      </c>
      <c r="AM33">
        <v>51591</v>
      </c>
      <c r="AN33">
        <v>0.1</v>
      </c>
      <c r="AO33">
        <v>1</v>
      </c>
      <c r="AP33" t="s">
        <v>73</v>
      </c>
      <c r="AR33" t="s">
        <v>73</v>
      </c>
      <c r="AS33">
        <v>0</v>
      </c>
      <c r="AT33">
        <v>0</v>
      </c>
      <c r="AU33">
        <v>0</v>
      </c>
      <c r="AV33">
        <v>0</v>
      </c>
      <c r="AW33">
        <v>1</v>
      </c>
      <c r="AX33">
        <v>0</v>
      </c>
      <c r="AY33" t="s">
        <v>138</v>
      </c>
      <c r="AZ33" t="s">
        <v>73</v>
      </c>
      <c r="BA33" t="s">
        <v>73</v>
      </c>
      <c r="BB33">
        <v>1</v>
      </c>
      <c r="BC33">
        <v>1</v>
      </c>
      <c r="BD33" t="s">
        <v>139</v>
      </c>
      <c r="BE33" t="s">
        <v>83</v>
      </c>
      <c r="BF33" t="s">
        <v>140</v>
      </c>
      <c r="BG33">
        <f>6*4.345</f>
        <v>26.07</v>
      </c>
      <c r="BH33">
        <v>0</v>
      </c>
      <c r="BI33" s="30">
        <v>0</v>
      </c>
      <c r="BJ33" s="30">
        <v>0</v>
      </c>
      <c r="BK33" s="30">
        <f t="shared" si="9"/>
        <v>0</v>
      </c>
      <c r="BL33" s="30">
        <f t="shared" si="10"/>
        <v>1.6949152542372881E-2</v>
      </c>
      <c r="BM33" s="30">
        <f t="shared" si="11"/>
        <v>1.7543859649122806E-2</v>
      </c>
    </row>
    <row r="34" spans="1:66" hidden="1">
      <c r="A34" t="s">
        <v>68</v>
      </c>
      <c r="B34">
        <v>33</v>
      </c>
      <c r="C34">
        <v>1007</v>
      </c>
      <c r="D34" t="s">
        <v>132</v>
      </c>
      <c r="E34" t="s">
        <v>133</v>
      </c>
      <c r="F34" t="s">
        <v>134</v>
      </c>
      <c r="G34" t="s">
        <v>135</v>
      </c>
      <c r="H34" s="32" t="s">
        <v>73</v>
      </c>
      <c r="I34">
        <v>25</v>
      </c>
      <c r="J34" t="s">
        <v>107</v>
      </c>
      <c r="K34" t="s">
        <v>76</v>
      </c>
      <c r="L34">
        <v>1</v>
      </c>
      <c r="M34">
        <v>0</v>
      </c>
      <c r="N34">
        <v>0</v>
      </c>
      <c r="O34">
        <v>0</v>
      </c>
      <c r="P34">
        <v>1</v>
      </c>
      <c r="Q34">
        <v>0</v>
      </c>
      <c r="R34">
        <v>1</v>
      </c>
      <c r="S34">
        <v>0</v>
      </c>
      <c r="T34">
        <v>0</v>
      </c>
      <c r="U34">
        <v>0</v>
      </c>
      <c r="V34">
        <v>0</v>
      </c>
      <c r="W34">
        <v>0</v>
      </c>
      <c r="X34">
        <v>0</v>
      </c>
      <c r="Y34">
        <v>0</v>
      </c>
      <c r="Z34" t="s">
        <v>141</v>
      </c>
      <c r="AA34" s="34" t="s">
        <v>137</v>
      </c>
      <c r="AB34" s="7" t="s">
        <v>73</v>
      </c>
      <c r="AC34" s="7" t="s">
        <v>86</v>
      </c>
      <c r="AD34" t="s">
        <v>73</v>
      </c>
      <c r="AE34">
        <v>0.71</v>
      </c>
      <c r="AF34" t="s">
        <v>73</v>
      </c>
      <c r="AG34">
        <v>19</v>
      </c>
      <c r="AH34" t="s">
        <v>73</v>
      </c>
      <c r="AI34" t="s">
        <v>73</v>
      </c>
      <c r="AJ34">
        <v>19</v>
      </c>
      <c r="AK34" t="s">
        <v>73</v>
      </c>
      <c r="AL34">
        <v>13</v>
      </c>
      <c r="AM34">
        <v>51591</v>
      </c>
      <c r="AN34">
        <v>0.06</v>
      </c>
      <c r="AO34">
        <v>2</v>
      </c>
      <c r="AP34">
        <v>2.06</v>
      </c>
      <c r="AR34" t="s">
        <v>73</v>
      </c>
      <c r="AS34">
        <v>0</v>
      </c>
      <c r="AT34">
        <v>0</v>
      </c>
      <c r="AU34">
        <v>0</v>
      </c>
      <c r="AV34">
        <v>0</v>
      </c>
      <c r="AW34">
        <v>1</v>
      </c>
      <c r="AX34">
        <v>0</v>
      </c>
      <c r="AY34" t="s">
        <v>138</v>
      </c>
      <c r="AZ34" t="s">
        <v>73</v>
      </c>
      <c r="BA34" t="s">
        <v>73</v>
      </c>
      <c r="BB34">
        <v>1</v>
      </c>
      <c r="BC34">
        <v>1</v>
      </c>
      <c r="BD34" t="s">
        <v>139</v>
      </c>
      <c r="BE34" t="s">
        <v>83</v>
      </c>
      <c r="BF34" t="s">
        <v>140</v>
      </c>
      <c r="BG34">
        <f>6*4.345</f>
        <v>26.07</v>
      </c>
      <c r="BH34">
        <v>0</v>
      </c>
      <c r="BI34" s="30">
        <f>(((AP34^2)/(AP34^2+AL34))^1/2)</f>
        <v>0.12304855134658654</v>
      </c>
      <c r="BJ34" s="30">
        <f>- (((AP34^2)/(AP34^2+AM34))^1/2)</f>
        <v>-4.1123945773947269E-5</v>
      </c>
      <c r="BK34" s="30">
        <f t="shared" si="9"/>
        <v>-4.1123945797180848E-5</v>
      </c>
      <c r="BL34" s="30">
        <f t="shared" si="10"/>
        <v>8.3333333333333329E-2</v>
      </c>
      <c r="BM34" s="30">
        <f t="shared" si="11"/>
        <v>0.1</v>
      </c>
    </row>
    <row r="35" spans="1:66" hidden="1">
      <c r="A35" t="s">
        <v>68</v>
      </c>
      <c r="B35">
        <v>34</v>
      </c>
      <c r="C35">
        <v>1007</v>
      </c>
      <c r="D35" t="s">
        <v>132</v>
      </c>
      <c r="E35" t="s">
        <v>133</v>
      </c>
      <c r="F35" t="s">
        <v>134</v>
      </c>
      <c r="G35" t="s">
        <v>135</v>
      </c>
      <c r="H35" s="32" t="s">
        <v>73</v>
      </c>
      <c r="I35">
        <v>25</v>
      </c>
      <c r="J35" t="s">
        <v>107</v>
      </c>
      <c r="K35" t="s">
        <v>76</v>
      </c>
      <c r="L35">
        <v>1</v>
      </c>
      <c r="M35">
        <v>0</v>
      </c>
      <c r="N35">
        <v>0</v>
      </c>
      <c r="O35">
        <v>0</v>
      </c>
      <c r="P35">
        <v>1</v>
      </c>
      <c r="Q35">
        <v>0</v>
      </c>
      <c r="R35">
        <v>1</v>
      </c>
      <c r="S35">
        <v>0</v>
      </c>
      <c r="T35">
        <v>0</v>
      </c>
      <c r="U35">
        <v>0</v>
      </c>
      <c r="V35">
        <v>0</v>
      </c>
      <c r="W35">
        <v>0</v>
      </c>
      <c r="X35">
        <v>0</v>
      </c>
      <c r="Y35">
        <v>0</v>
      </c>
      <c r="Z35" t="s">
        <v>142</v>
      </c>
      <c r="AA35" s="34" t="s">
        <v>137</v>
      </c>
      <c r="AB35" s="7" t="s">
        <v>73</v>
      </c>
      <c r="AC35" s="7" t="s">
        <v>80</v>
      </c>
      <c r="AD35" t="s">
        <v>73</v>
      </c>
      <c r="AE35">
        <v>0.08</v>
      </c>
      <c r="AF35" t="s">
        <v>73</v>
      </c>
      <c r="AG35">
        <v>19</v>
      </c>
      <c r="AH35" t="s">
        <v>73</v>
      </c>
      <c r="AI35" t="s">
        <v>73</v>
      </c>
      <c r="AJ35">
        <v>19</v>
      </c>
      <c r="AK35" t="s">
        <v>73</v>
      </c>
      <c r="AL35">
        <v>34</v>
      </c>
      <c r="AM35">
        <v>51591</v>
      </c>
      <c r="AN35">
        <v>0.1</v>
      </c>
      <c r="AO35">
        <v>1</v>
      </c>
      <c r="AP35" t="s">
        <v>73</v>
      </c>
      <c r="AR35" t="s">
        <v>73</v>
      </c>
      <c r="AS35">
        <v>0</v>
      </c>
      <c r="AT35">
        <v>0</v>
      </c>
      <c r="AU35">
        <v>0</v>
      </c>
      <c r="AV35">
        <v>0</v>
      </c>
      <c r="AW35">
        <v>1</v>
      </c>
      <c r="AX35">
        <v>0</v>
      </c>
      <c r="AY35" t="s">
        <v>138</v>
      </c>
      <c r="AZ35" t="s">
        <v>73</v>
      </c>
      <c r="BA35" t="s">
        <v>73</v>
      </c>
      <c r="BB35">
        <v>1</v>
      </c>
      <c r="BC35">
        <v>1</v>
      </c>
      <c r="BD35" t="s">
        <v>139</v>
      </c>
      <c r="BE35" t="s">
        <v>83</v>
      </c>
      <c r="BF35" t="s">
        <v>140</v>
      </c>
      <c r="BG35">
        <f>6*4.345</f>
        <v>26.07</v>
      </c>
      <c r="BH35">
        <v>0</v>
      </c>
      <c r="BI35" s="30">
        <v>0</v>
      </c>
      <c r="BJ35" s="30">
        <v>0</v>
      </c>
      <c r="BK35" s="30">
        <f t="shared" si="9"/>
        <v>0</v>
      </c>
      <c r="BL35" s="30">
        <f t="shared" si="10"/>
        <v>3.0303030303030304E-2</v>
      </c>
      <c r="BM35" s="30">
        <f t="shared" si="11"/>
        <v>3.2258064516129031E-2</v>
      </c>
    </row>
    <row r="36" spans="1:66" hidden="1">
      <c r="A36" t="s">
        <v>68</v>
      </c>
      <c r="B36">
        <v>35</v>
      </c>
      <c r="C36">
        <v>1007</v>
      </c>
      <c r="D36" t="s">
        <v>132</v>
      </c>
      <c r="E36" t="s">
        <v>133</v>
      </c>
      <c r="F36" t="s">
        <v>134</v>
      </c>
      <c r="G36" t="s">
        <v>135</v>
      </c>
      <c r="H36" s="32" t="s">
        <v>73</v>
      </c>
      <c r="I36">
        <v>25</v>
      </c>
      <c r="J36" t="s">
        <v>107</v>
      </c>
      <c r="K36" t="s">
        <v>76</v>
      </c>
      <c r="L36">
        <v>1</v>
      </c>
      <c r="M36">
        <v>0</v>
      </c>
      <c r="N36">
        <v>0</v>
      </c>
      <c r="O36">
        <v>0</v>
      </c>
      <c r="P36">
        <v>1</v>
      </c>
      <c r="Q36">
        <v>0</v>
      </c>
      <c r="R36">
        <v>1</v>
      </c>
      <c r="S36">
        <v>0</v>
      </c>
      <c r="T36">
        <v>0</v>
      </c>
      <c r="U36">
        <v>0</v>
      </c>
      <c r="V36">
        <v>0</v>
      </c>
      <c r="W36">
        <v>0</v>
      </c>
      <c r="X36">
        <v>0</v>
      </c>
      <c r="Y36">
        <v>0</v>
      </c>
      <c r="Z36" t="s">
        <v>143</v>
      </c>
      <c r="AA36" s="34" t="s">
        <v>137</v>
      </c>
      <c r="AB36" s="7" t="s">
        <v>73</v>
      </c>
      <c r="AC36" s="7" t="s">
        <v>86</v>
      </c>
      <c r="AD36" t="s">
        <v>73</v>
      </c>
      <c r="AE36">
        <v>0.08</v>
      </c>
      <c r="AF36" t="s">
        <v>73</v>
      </c>
      <c r="AG36">
        <v>19</v>
      </c>
      <c r="AH36" t="s">
        <v>73</v>
      </c>
      <c r="AI36" t="s">
        <v>73</v>
      </c>
      <c r="AJ36">
        <v>19</v>
      </c>
      <c r="AK36" t="s">
        <v>73</v>
      </c>
      <c r="AL36">
        <v>8</v>
      </c>
      <c r="AM36">
        <v>51591</v>
      </c>
      <c r="AN36">
        <v>0.1</v>
      </c>
      <c r="AO36">
        <v>1</v>
      </c>
      <c r="AP36" t="s">
        <v>73</v>
      </c>
      <c r="AR36" t="s">
        <v>73</v>
      </c>
      <c r="AS36">
        <v>0</v>
      </c>
      <c r="AT36">
        <v>0</v>
      </c>
      <c r="AU36">
        <v>0</v>
      </c>
      <c r="AV36">
        <v>0</v>
      </c>
      <c r="AW36">
        <v>1</v>
      </c>
      <c r="AX36">
        <v>0</v>
      </c>
      <c r="AY36" t="s">
        <v>138</v>
      </c>
      <c r="AZ36" t="s">
        <v>73</v>
      </c>
      <c r="BA36" t="s">
        <v>73</v>
      </c>
      <c r="BB36">
        <v>1</v>
      </c>
      <c r="BC36">
        <v>1</v>
      </c>
      <c r="BD36" t="s">
        <v>139</v>
      </c>
      <c r="BE36" t="s">
        <v>83</v>
      </c>
      <c r="BF36" t="s">
        <v>140</v>
      </c>
      <c r="BG36">
        <f>6*4.345</f>
        <v>26.07</v>
      </c>
      <c r="BH36">
        <v>0</v>
      </c>
      <c r="BI36" s="30">
        <v>0</v>
      </c>
      <c r="BJ36" s="30">
        <v>0</v>
      </c>
      <c r="BK36" s="30">
        <f t="shared" si="9"/>
        <v>0</v>
      </c>
      <c r="BL36" s="30">
        <f t="shared" si="10"/>
        <v>0.14285714285714285</v>
      </c>
      <c r="BM36" s="30">
        <f t="shared" si="11"/>
        <v>0.2</v>
      </c>
    </row>
    <row r="37" spans="1:66" s="42" customFormat="1">
      <c r="A37" s="42" t="s">
        <v>68</v>
      </c>
      <c r="B37" s="42">
        <v>36</v>
      </c>
      <c r="C37" s="42">
        <v>1008</v>
      </c>
      <c r="D37" s="42" t="s">
        <v>144</v>
      </c>
      <c r="E37" s="42" t="s">
        <v>145</v>
      </c>
      <c r="F37" s="42" t="s">
        <v>146</v>
      </c>
      <c r="G37" s="42">
        <v>2006</v>
      </c>
      <c r="H37" s="51" t="s">
        <v>73</v>
      </c>
      <c r="I37" s="42">
        <v>112</v>
      </c>
      <c r="J37" s="42" t="s">
        <v>93</v>
      </c>
      <c r="K37" s="42" t="s">
        <v>76</v>
      </c>
      <c r="L37" s="42">
        <v>1</v>
      </c>
      <c r="M37" s="42">
        <v>0</v>
      </c>
      <c r="N37" s="42">
        <v>0</v>
      </c>
      <c r="O37" s="42">
        <v>0</v>
      </c>
      <c r="P37" s="42">
        <v>1</v>
      </c>
      <c r="Q37" s="42">
        <v>0</v>
      </c>
      <c r="R37" s="42">
        <v>1</v>
      </c>
      <c r="S37" s="42">
        <v>0</v>
      </c>
      <c r="T37" s="42">
        <v>0</v>
      </c>
      <c r="U37" s="42">
        <v>0</v>
      </c>
      <c r="V37" s="42">
        <v>0</v>
      </c>
      <c r="W37" s="42">
        <v>0</v>
      </c>
      <c r="X37" s="42">
        <v>0</v>
      </c>
      <c r="Y37" s="42">
        <v>0</v>
      </c>
      <c r="Z37" s="42" t="s">
        <v>73</v>
      </c>
      <c r="AA37" s="42" t="s">
        <v>147</v>
      </c>
      <c r="AB37" s="50">
        <v>8.3000000000000001E-3</v>
      </c>
      <c r="AC37" s="49" t="s">
        <v>86</v>
      </c>
      <c r="AD37" s="42">
        <v>2.5999999999999999E-3</v>
      </c>
      <c r="AE37" s="42">
        <v>0.08</v>
      </c>
      <c r="AF37" s="42">
        <v>0.97499999999999998</v>
      </c>
      <c r="AG37" s="42">
        <v>1040</v>
      </c>
      <c r="AH37" s="42">
        <v>0.11799999999999999</v>
      </c>
      <c r="AI37" s="42">
        <v>0.96899999999999997</v>
      </c>
      <c r="AJ37" s="42">
        <v>1025</v>
      </c>
      <c r="AK37" s="42">
        <v>0.115</v>
      </c>
      <c r="AL37" s="42">
        <v>2065</v>
      </c>
      <c r="AM37" s="42">
        <v>2065</v>
      </c>
      <c r="AN37" s="42">
        <v>1E-3</v>
      </c>
      <c r="AO37" s="42">
        <v>3</v>
      </c>
      <c r="AP37" s="42">
        <f>AB37/AD37</f>
        <v>3.1923076923076925</v>
      </c>
      <c r="AR37" s="42" t="s">
        <v>73</v>
      </c>
      <c r="AS37" s="42">
        <v>0</v>
      </c>
      <c r="AT37" s="42">
        <v>0</v>
      </c>
      <c r="AU37" s="42">
        <v>0</v>
      </c>
      <c r="AV37" s="42">
        <v>0</v>
      </c>
      <c r="AW37" s="42">
        <v>0</v>
      </c>
      <c r="AX37" s="42">
        <v>0</v>
      </c>
      <c r="AY37" s="42" t="s">
        <v>148</v>
      </c>
      <c r="AZ37" s="42">
        <v>0.97499999999999998</v>
      </c>
      <c r="BA37" s="42" t="s">
        <v>149</v>
      </c>
      <c r="BB37" s="42">
        <v>1</v>
      </c>
      <c r="BC37" s="42">
        <v>0</v>
      </c>
      <c r="BD37" s="42" t="s">
        <v>139</v>
      </c>
      <c r="BE37" s="42" t="s">
        <v>83</v>
      </c>
      <c r="BF37" s="42" t="s">
        <v>150</v>
      </c>
      <c r="BG37" s="42">
        <v>0</v>
      </c>
      <c r="BH37" s="42">
        <v>0</v>
      </c>
      <c r="BI37" s="52">
        <f>(((AP37^2)/(AP37^2+AL37))^1/2)</f>
        <v>2.4553954901131926E-3</v>
      </c>
      <c r="BJ37" s="52">
        <f>- (((AP37^2)/(AP37^2+AM37))^1/2)</f>
        <v>-2.4553954901131926E-3</v>
      </c>
      <c r="BK37" s="52">
        <f t="shared" si="9"/>
        <v>-2.4554004246305243E-3</v>
      </c>
      <c r="BL37" s="52">
        <f t="shared" si="10"/>
        <v>4.8449612401339694E-4</v>
      </c>
      <c r="BM37" s="52">
        <f t="shared" si="11"/>
        <v>4.8496605237633366E-4</v>
      </c>
    </row>
    <row r="38" spans="1:66" hidden="1">
      <c r="A38" s="10" t="s">
        <v>151</v>
      </c>
      <c r="B38" s="17">
        <f>B37+1</f>
        <v>37</v>
      </c>
      <c r="C38" s="11">
        <v>1009</v>
      </c>
      <c r="D38" s="10" t="s">
        <v>152</v>
      </c>
      <c r="E38" s="22" t="s">
        <v>153</v>
      </c>
      <c r="F38" s="22" t="s">
        <v>154</v>
      </c>
      <c r="G38">
        <v>2005</v>
      </c>
      <c r="H38" t="s">
        <v>73</v>
      </c>
      <c r="I38">
        <v>193</v>
      </c>
      <c r="J38" t="s">
        <v>155</v>
      </c>
      <c r="K38" t="s">
        <v>112</v>
      </c>
      <c r="L38">
        <v>2</v>
      </c>
      <c r="M38">
        <v>0</v>
      </c>
      <c r="N38">
        <v>0</v>
      </c>
      <c r="O38">
        <v>0</v>
      </c>
      <c r="P38">
        <v>1</v>
      </c>
      <c r="Q38">
        <v>0</v>
      </c>
      <c r="R38">
        <v>0</v>
      </c>
      <c r="S38">
        <v>0</v>
      </c>
      <c r="T38">
        <v>0</v>
      </c>
      <c r="U38">
        <v>0</v>
      </c>
      <c r="V38">
        <v>0</v>
      </c>
      <c r="W38">
        <v>0</v>
      </c>
      <c r="X38">
        <v>0</v>
      </c>
      <c r="Y38">
        <v>0</v>
      </c>
      <c r="Z38" t="s">
        <v>73</v>
      </c>
      <c r="AA38" t="s">
        <v>78</v>
      </c>
      <c r="AB38" s="21">
        <v>0.26479999999999998</v>
      </c>
      <c r="AC38" s="7" t="s">
        <v>86</v>
      </c>
      <c r="AD38">
        <v>0.19700000000000001</v>
      </c>
      <c r="AE38" t="s">
        <v>73</v>
      </c>
      <c r="AF38" t="s">
        <v>73</v>
      </c>
      <c r="AG38" t="s">
        <v>73</v>
      </c>
      <c r="AH38" t="s">
        <v>73</v>
      </c>
      <c r="AI38" t="s">
        <v>73</v>
      </c>
      <c r="AJ38" t="s">
        <v>73</v>
      </c>
      <c r="AK38" t="s">
        <v>73</v>
      </c>
      <c r="AL38" s="27">
        <v>151</v>
      </c>
      <c r="AM38" s="27">
        <v>151</v>
      </c>
      <c r="AN38">
        <v>0.2</v>
      </c>
      <c r="AO38">
        <v>2</v>
      </c>
      <c r="AP38">
        <f>AB38/AD38</f>
        <v>1.3441624365482232</v>
      </c>
      <c r="AQ38" t="s">
        <v>73</v>
      </c>
      <c r="AR38" t="s">
        <v>73</v>
      </c>
      <c r="AS38">
        <v>0</v>
      </c>
      <c r="AT38">
        <v>0</v>
      </c>
      <c r="AU38">
        <v>0</v>
      </c>
      <c r="AV38">
        <v>0</v>
      </c>
      <c r="AW38">
        <v>0</v>
      </c>
      <c r="AX38">
        <v>0</v>
      </c>
      <c r="AY38" t="s">
        <v>156</v>
      </c>
      <c r="AZ38" s="14" t="s">
        <v>73</v>
      </c>
      <c r="BA38" s="17" t="s">
        <v>73</v>
      </c>
      <c r="BB38">
        <v>0</v>
      </c>
      <c r="BC38" t="s">
        <v>73</v>
      </c>
      <c r="BD38" s="18" t="s">
        <v>139</v>
      </c>
      <c r="BE38" s="18" t="s">
        <v>139</v>
      </c>
      <c r="BF38" t="s">
        <v>157</v>
      </c>
      <c r="BG38" t="s">
        <v>73</v>
      </c>
      <c r="BH38" t="s">
        <v>73</v>
      </c>
      <c r="BI38" s="30">
        <f>(((AP38^2)/(AP38^2+AL38))^1/2)</f>
        <v>5.9119521485370341E-3</v>
      </c>
      <c r="BJ38" s="30">
        <f>- (((AP38^2)/(AP38^2+AM38))^1/2)</f>
        <v>-5.9119521485370341E-3</v>
      </c>
      <c r="BK38" s="30">
        <f t="shared" si="9"/>
        <v>-5.9120210265458696E-3</v>
      </c>
      <c r="BL38" s="30">
        <f t="shared" si="10"/>
        <v>6.6666666585223884E-3</v>
      </c>
      <c r="BM38" s="30">
        <f t="shared" si="11"/>
        <v>6.7567567567567571E-3</v>
      </c>
    </row>
    <row r="39" spans="1:66" s="42" customFormat="1" ht="17">
      <c r="A39" s="46" t="s">
        <v>68</v>
      </c>
      <c r="B39" s="42">
        <f>B38+1</f>
        <v>38</v>
      </c>
      <c r="C39" s="55">
        <v>1010</v>
      </c>
      <c r="D39" s="56" t="s">
        <v>158</v>
      </c>
      <c r="E39" s="56" t="s">
        <v>159</v>
      </c>
      <c r="F39" s="56" t="s">
        <v>160</v>
      </c>
      <c r="G39" s="56">
        <v>2015</v>
      </c>
      <c r="H39" s="42" t="s">
        <v>73</v>
      </c>
      <c r="I39" s="42">
        <v>122</v>
      </c>
      <c r="J39" s="42" t="s">
        <v>107</v>
      </c>
      <c r="K39" s="42" t="s">
        <v>112</v>
      </c>
      <c r="L39" s="42">
        <v>2</v>
      </c>
      <c r="M39" s="42">
        <v>0</v>
      </c>
      <c r="N39" s="42">
        <v>0</v>
      </c>
      <c r="O39" s="42">
        <v>0</v>
      </c>
      <c r="P39" s="42">
        <v>1</v>
      </c>
      <c r="Q39" s="42">
        <v>0</v>
      </c>
      <c r="R39" s="42">
        <v>0</v>
      </c>
      <c r="S39" s="42">
        <v>0</v>
      </c>
      <c r="T39" s="42">
        <v>1</v>
      </c>
      <c r="U39" s="42">
        <v>0</v>
      </c>
      <c r="V39" s="42">
        <v>0</v>
      </c>
      <c r="W39" s="42">
        <v>0</v>
      </c>
      <c r="X39" s="42">
        <v>0</v>
      </c>
      <c r="Y39" s="42">
        <v>0</v>
      </c>
      <c r="Z39" s="42" t="s">
        <v>161</v>
      </c>
      <c r="AA39" s="42" t="s">
        <v>162</v>
      </c>
      <c r="AB39" s="49" t="s">
        <v>73</v>
      </c>
      <c r="AC39" s="49" t="s">
        <v>86</v>
      </c>
      <c r="AD39" s="42">
        <v>2.4</v>
      </c>
      <c r="AE39" s="49" t="s">
        <v>73</v>
      </c>
      <c r="AF39" s="42">
        <v>199.5</v>
      </c>
      <c r="AG39" s="42">
        <v>100</v>
      </c>
      <c r="AH39" s="42">
        <v>2.1</v>
      </c>
      <c r="AI39" s="42">
        <v>199.5</v>
      </c>
      <c r="AJ39" s="42">
        <v>141</v>
      </c>
      <c r="AK39" s="42">
        <v>1.4</v>
      </c>
      <c r="AL39" s="42">
        <f>AG39+AJ39</f>
        <v>241</v>
      </c>
      <c r="AM39" s="57">
        <v>241</v>
      </c>
      <c r="AN39" s="42">
        <v>0.1</v>
      </c>
      <c r="AO39" s="42">
        <v>1</v>
      </c>
      <c r="AP39" s="42">
        <v>0</v>
      </c>
      <c r="AQ39" s="42">
        <f>ABS(AF39-AI39)</f>
        <v>0</v>
      </c>
      <c r="AR39" s="42">
        <v>0</v>
      </c>
      <c r="AS39" s="42">
        <v>0</v>
      </c>
      <c r="AT39" s="42">
        <v>0</v>
      </c>
      <c r="AU39" s="42">
        <v>0</v>
      </c>
      <c r="AV39" s="42">
        <v>0</v>
      </c>
      <c r="AW39" s="42">
        <v>1</v>
      </c>
      <c r="AX39" s="42">
        <v>0</v>
      </c>
      <c r="AY39" s="42" t="s">
        <v>156</v>
      </c>
      <c r="AZ39" s="42" t="s">
        <v>73</v>
      </c>
      <c r="BA39" s="42" t="s">
        <v>73</v>
      </c>
      <c r="BB39" s="42">
        <v>0</v>
      </c>
      <c r="BC39" s="42">
        <v>0</v>
      </c>
      <c r="BD39" s="44" t="s">
        <v>139</v>
      </c>
      <c r="BE39" s="44" t="s">
        <v>139</v>
      </c>
      <c r="BF39" s="42" t="s">
        <v>163</v>
      </c>
      <c r="BG39" s="42">
        <f xml:space="preserve"> 9 * 4.345</f>
        <v>39.104999999999997</v>
      </c>
      <c r="BH39" s="42">
        <v>12</v>
      </c>
      <c r="BI39" s="52">
        <v>0</v>
      </c>
      <c r="BJ39" s="52">
        <v>0</v>
      </c>
      <c r="BK39" s="52">
        <f t="shared" si="9"/>
        <v>0</v>
      </c>
      <c r="BL39" s="52">
        <f t="shared" si="10"/>
        <v>4.1666666666666666E-3</v>
      </c>
      <c r="BM39" s="52">
        <f t="shared" si="11"/>
        <v>4.2016806722689074E-3</v>
      </c>
      <c r="BN39" s="44"/>
    </row>
    <row r="40" spans="1:66" s="42" customFormat="1" ht="17">
      <c r="A40" s="46" t="s">
        <v>68</v>
      </c>
      <c r="B40" s="42">
        <f>B39+1</f>
        <v>39</v>
      </c>
      <c r="C40" s="55">
        <v>1010</v>
      </c>
      <c r="D40" s="56" t="s">
        <v>158</v>
      </c>
      <c r="E40" s="56" t="s">
        <v>159</v>
      </c>
      <c r="F40" s="56" t="s">
        <v>160</v>
      </c>
      <c r="G40" s="56">
        <v>2015</v>
      </c>
      <c r="H40" s="42" t="s">
        <v>73</v>
      </c>
      <c r="I40" s="42">
        <v>122</v>
      </c>
      <c r="J40" s="42" t="s">
        <v>107</v>
      </c>
      <c r="K40" s="42" t="s">
        <v>112</v>
      </c>
      <c r="L40" s="42">
        <v>2</v>
      </c>
      <c r="M40" s="42">
        <v>0</v>
      </c>
      <c r="N40" s="42">
        <v>0</v>
      </c>
      <c r="O40" s="42">
        <v>0</v>
      </c>
      <c r="P40" s="42">
        <v>1</v>
      </c>
      <c r="Q40" s="42">
        <v>0</v>
      </c>
      <c r="R40" s="42">
        <v>0</v>
      </c>
      <c r="S40" s="42">
        <v>0</v>
      </c>
      <c r="T40" s="42">
        <v>1</v>
      </c>
      <c r="U40" s="42">
        <v>0</v>
      </c>
      <c r="V40" s="42">
        <v>0</v>
      </c>
      <c r="W40" s="42">
        <v>0</v>
      </c>
      <c r="X40" s="42">
        <v>0</v>
      </c>
      <c r="Y40" s="42">
        <v>0</v>
      </c>
      <c r="Z40" s="42" t="s">
        <v>161</v>
      </c>
      <c r="AA40" s="42" t="s">
        <v>162</v>
      </c>
      <c r="AB40" s="49" t="s">
        <v>73</v>
      </c>
      <c r="AC40" s="49" t="s">
        <v>80</v>
      </c>
      <c r="AD40" s="42">
        <v>2.8</v>
      </c>
      <c r="AE40" s="49" t="s">
        <v>73</v>
      </c>
      <c r="AF40" s="42">
        <v>199.5</v>
      </c>
      <c r="AG40" s="42">
        <v>100</v>
      </c>
      <c r="AH40" s="42">
        <v>2.1</v>
      </c>
      <c r="AI40" s="42">
        <v>200.1</v>
      </c>
      <c r="AJ40" s="42">
        <v>110</v>
      </c>
      <c r="AK40" s="42">
        <v>1.9</v>
      </c>
      <c r="AL40" s="42">
        <f>AG40+AJ40</f>
        <v>210</v>
      </c>
      <c r="AM40" s="42">
        <v>210</v>
      </c>
      <c r="AN40" s="42">
        <v>0.1</v>
      </c>
      <c r="AO40" s="42">
        <v>1</v>
      </c>
      <c r="AP40" s="42">
        <v>0</v>
      </c>
      <c r="AQ40" s="42">
        <f>ABS(AF40-AI40)</f>
        <v>0.59999999999999432</v>
      </c>
      <c r="AR40" s="42">
        <v>0</v>
      </c>
      <c r="AS40" s="42">
        <v>0</v>
      </c>
      <c r="AT40" s="42">
        <v>0</v>
      </c>
      <c r="AU40" s="42">
        <v>0</v>
      </c>
      <c r="AV40" s="42">
        <v>0</v>
      </c>
      <c r="AW40" s="42">
        <v>1</v>
      </c>
      <c r="AX40" s="42">
        <v>0</v>
      </c>
      <c r="AY40" s="42" t="s">
        <v>156</v>
      </c>
      <c r="AZ40" s="42" t="s">
        <v>73</v>
      </c>
      <c r="BA40" s="42" t="s">
        <v>73</v>
      </c>
      <c r="BB40" s="42">
        <v>0</v>
      </c>
      <c r="BC40" s="42">
        <v>0</v>
      </c>
      <c r="BD40" s="44" t="s">
        <v>139</v>
      </c>
      <c r="BE40" s="44" t="s">
        <v>139</v>
      </c>
      <c r="BF40" s="42" t="s">
        <v>163</v>
      </c>
      <c r="BG40" s="42">
        <f xml:space="preserve"> 9 * 4.345</f>
        <v>39.104999999999997</v>
      </c>
      <c r="BH40" s="42">
        <v>12</v>
      </c>
      <c r="BI40" s="52">
        <v>0</v>
      </c>
      <c r="BJ40" s="52">
        <v>0</v>
      </c>
      <c r="BK40" s="52">
        <f t="shared" si="9"/>
        <v>0</v>
      </c>
      <c r="BL40" s="52">
        <f t="shared" si="10"/>
        <v>4.7846889952153108E-3</v>
      </c>
      <c r="BM40" s="52">
        <f t="shared" si="11"/>
        <v>4.830917874396135E-3</v>
      </c>
      <c r="BN40" s="44"/>
    </row>
    <row r="41" spans="1:66" s="42" customFormat="1" ht="17">
      <c r="A41" s="46" t="s">
        <v>68</v>
      </c>
      <c r="B41" s="42">
        <v>40</v>
      </c>
      <c r="C41" s="55">
        <v>1010</v>
      </c>
      <c r="D41" s="56" t="s">
        <v>158</v>
      </c>
      <c r="E41" s="56" t="s">
        <v>159</v>
      </c>
      <c r="F41" s="56" t="s">
        <v>160</v>
      </c>
      <c r="G41" s="56">
        <v>2015</v>
      </c>
      <c r="H41" s="42" t="s">
        <v>73</v>
      </c>
      <c r="I41" s="42">
        <v>122</v>
      </c>
      <c r="J41" s="42" t="s">
        <v>107</v>
      </c>
      <c r="K41" s="42" t="s">
        <v>112</v>
      </c>
      <c r="L41" s="42">
        <v>2</v>
      </c>
      <c r="M41" s="42">
        <v>0</v>
      </c>
      <c r="N41" s="42">
        <v>0</v>
      </c>
      <c r="O41" s="42">
        <v>0</v>
      </c>
      <c r="P41" s="42">
        <v>1</v>
      </c>
      <c r="Q41" s="42">
        <v>0</v>
      </c>
      <c r="R41" s="42">
        <v>0</v>
      </c>
      <c r="S41" s="42">
        <v>0</v>
      </c>
      <c r="T41" s="42">
        <v>1</v>
      </c>
      <c r="U41" s="42">
        <v>0</v>
      </c>
      <c r="V41" s="42">
        <v>0</v>
      </c>
      <c r="W41" s="42">
        <v>0</v>
      </c>
      <c r="X41" s="42">
        <v>0</v>
      </c>
      <c r="Y41" s="42">
        <v>0</v>
      </c>
      <c r="Z41" s="42" t="s">
        <v>164</v>
      </c>
      <c r="AA41" s="42" t="s">
        <v>162</v>
      </c>
      <c r="AB41" s="49" t="s">
        <v>73</v>
      </c>
      <c r="AC41" s="49" t="s">
        <v>86</v>
      </c>
      <c r="AD41" s="42">
        <v>9.5</v>
      </c>
      <c r="AE41" s="49" t="s">
        <v>73</v>
      </c>
      <c r="AF41" s="42">
        <v>241.7</v>
      </c>
      <c r="AG41" s="42">
        <v>66</v>
      </c>
      <c r="AH41" s="42">
        <v>7.5</v>
      </c>
      <c r="AI41" s="42">
        <v>222.3</v>
      </c>
      <c r="AJ41" s="42">
        <v>70</v>
      </c>
      <c r="AK41" s="42">
        <v>5.8</v>
      </c>
      <c r="AL41" s="42">
        <f>AG41+AJ41</f>
        <v>136</v>
      </c>
      <c r="AM41" s="42">
        <v>136</v>
      </c>
      <c r="AN41" s="42">
        <v>0.05</v>
      </c>
      <c r="AO41" s="42">
        <v>2</v>
      </c>
      <c r="AP41" s="42">
        <v>1.9776</v>
      </c>
      <c r="AQ41" s="42">
        <f>ABS(AF41-AI41)</f>
        <v>19.399999999999977</v>
      </c>
      <c r="AR41" s="42">
        <v>0</v>
      </c>
      <c r="AS41" s="42">
        <v>0</v>
      </c>
      <c r="AT41" s="42">
        <v>0</v>
      </c>
      <c r="AU41" s="42">
        <v>0</v>
      </c>
      <c r="AV41" s="42">
        <v>0</v>
      </c>
      <c r="AW41" s="42">
        <v>1</v>
      </c>
      <c r="AX41" s="42">
        <v>0</v>
      </c>
      <c r="AY41" s="42" t="s">
        <v>156</v>
      </c>
      <c r="AZ41" s="42" t="s">
        <v>73</v>
      </c>
      <c r="BA41" s="42" t="s">
        <v>73</v>
      </c>
      <c r="BB41" s="42">
        <v>0</v>
      </c>
      <c r="BC41" s="42">
        <v>0</v>
      </c>
      <c r="BD41" s="44" t="s">
        <v>139</v>
      </c>
      <c r="BE41" s="44" t="s">
        <v>139</v>
      </c>
      <c r="BF41" s="42" t="s">
        <v>163</v>
      </c>
      <c r="BG41" s="42">
        <f xml:space="preserve"> 9 * 4.345</f>
        <v>39.104999999999997</v>
      </c>
      <c r="BH41" s="42">
        <v>12</v>
      </c>
      <c r="BI41" s="52">
        <f>BN41/(((BN41^2)+4)^1/2)</f>
        <v>0.49989150482803513</v>
      </c>
      <c r="BJ41" s="52">
        <f>- BN41/(((BN41^2)+4)^1/2)</f>
        <v>-0.49989150482803513</v>
      </c>
      <c r="BK41" s="52">
        <f t="shared" si="9"/>
        <v>-0.54916149456629371</v>
      </c>
      <c r="BL41" s="52">
        <f>((1-(BK41^2)^2)/(AL41-1))</f>
        <v>6.7337074114949304E-3</v>
      </c>
      <c r="BM41" s="52">
        <f>1/(AL41-3)</f>
        <v>7.5187969924812026E-3</v>
      </c>
      <c r="BN41" s="44">
        <f>(AF41-AI41)/AD41</f>
        <v>2.0421052631578922</v>
      </c>
    </row>
    <row r="42" spans="1:66" s="42" customFormat="1" ht="17">
      <c r="A42" s="46" t="s">
        <v>68</v>
      </c>
      <c r="B42" s="42">
        <f>B41+1</f>
        <v>41</v>
      </c>
      <c r="C42" s="55">
        <v>1010</v>
      </c>
      <c r="D42" s="56" t="s">
        <v>158</v>
      </c>
      <c r="E42" s="56" t="s">
        <v>159</v>
      </c>
      <c r="F42" s="56" t="s">
        <v>160</v>
      </c>
      <c r="G42" s="56">
        <v>2015</v>
      </c>
      <c r="H42" s="42" t="s">
        <v>73</v>
      </c>
      <c r="I42" s="42">
        <v>122</v>
      </c>
      <c r="J42" s="42" t="s">
        <v>107</v>
      </c>
      <c r="K42" s="42" t="s">
        <v>112</v>
      </c>
      <c r="L42" s="42">
        <v>2</v>
      </c>
      <c r="M42" s="42">
        <v>0</v>
      </c>
      <c r="N42" s="42">
        <v>0</v>
      </c>
      <c r="O42" s="42">
        <v>0</v>
      </c>
      <c r="P42" s="42">
        <v>1</v>
      </c>
      <c r="Q42" s="42">
        <v>0</v>
      </c>
      <c r="R42" s="42">
        <v>0</v>
      </c>
      <c r="S42" s="42">
        <v>0</v>
      </c>
      <c r="T42" s="42">
        <v>1</v>
      </c>
      <c r="U42" s="42">
        <v>0</v>
      </c>
      <c r="V42" s="42">
        <v>0</v>
      </c>
      <c r="W42" s="42">
        <v>0</v>
      </c>
      <c r="X42" s="42">
        <v>0</v>
      </c>
      <c r="Y42" s="42">
        <v>0</v>
      </c>
      <c r="Z42" s="42" t="s">
        <v>164</v>
      </c>
      <c r="AA42" s="42" t="s">
        <v>162</v>
      </c>
      <c r="AB42" s="49" t="s">
        <v>73</v>
      </c>
      <c r="AC42" s="49" t="s">
        <v>86</v>
      </c>
      <c r="AD42" s="42">
        <v>9.9</v>
      </c>
      <c r="AE42" s="49" t="s">
        <v>73</v>
      </c>
      <c r="AF42" s="42">
        <v>241.7</v>
      </c>
      <c r="AG42" s="42">
        <v>66</v>
      </c>
      <c r="AH42" s="42">
        <v>7.5</v>
      </c>
      <c r="AI42" s="42">
        <v>218.4</v>
      </c>
      <c r="AJ42" s="42">
        <v>58</v>
      </c>
      <c r="AK42" s="42">
        <v>6.2</v>
      </c>
      <c r="AL42" s="42">
        <f>AG42+AJ42</f>
        <v>124</v>
      </c>
      <c r="AM42" s="42">
        <v>124</v>
      </c>
      <c r="AN42" s="42">
        <v>0.05</v>
      </c>
      <c r="AO42" s="42">
        <v>2</v>
      </c>
      <c r="AP42" s="42">
        <v>1.9776</v>
      </c>
      <c r="AQ42" s="42">
        <f>ABS(AF42-AI42)</f>
        <v>23.299999999999983</v>
      </c>
      <c r="AR42" s="42">
        <v>0</v>
      </c>
      <c r="AS42" s="42">
        <v>0</v>
      </c>
      <c r="AT42" s="42">
        <v>0</v>
      </c>
      <c r="AU42" s="42">
        <v>0</v>
      </c>
      <c r="AV42" s="42">
        <v>0</v>
      </c>
      <c r="AW42" s="42">
        <v>1</v>
      </c>
      <c r="AX42" s="42">
        <v>0</v>
      </c>
      <c r="AY42" s="42" t="s">
        <v>156</v>
      </c>
      <c r="AZ42" s="42" t="s">
        <v>73</v>
      </c>
      <c r="BA42" s="42" t="s">
        <v>73</v>
      </c>
      <c r="BB42" s="42">
        <v>0</v>
      </c>
      <c r="BC42" s="42">
        <v>0</v>
      </c>
      <c r="BD42" s="44" t="s">
        <v>139</v>
      </c>
      <c r="BE42" s="44" t="s">
        <v>139</v>
      </c>
      <c r="BF42" s="42" t="s">
        <v>163</v>
      </c>
      <c r="BG42" s="42">
        <f xml:space="preserve"> 9 * 4.345</f>
        <v>39.104999999999997</v>
      </c>
      <c r="BH42" s="42">
        <v>12</v>
      </c>
      <c r="BI42" s="52">
        <f>BN42/(((BN42^2)+4)^1/2)</f>
        <v>0.49344870738985813</v>
      </c>
      <c r="BJ42" s="52">
        <f>- BN42/(((BN42^2)+4)^1/2)</f>
        <v>-0.49344870738985813</v>
      </c>
      <c r="BK42" s="52">
        <f t="shared" si="9"/>
        <v>-0.54060885294058814</v>
      </c>
      <c r="BL42" s="52">
        <f>((1-(BK42^2)^2)/(AL42-1))</f>
        <v>7.4356528557280258E-3</v>
      </c>
      <c r="BM42" s="52">
        <f>1/(AL42-3)</f>
        <v>8.2644628099173556E-3</v>
      </c>
      <c r="BN42" s="44">
        <f>(AF42-AI42)/AD42</f>
        <v>2.3535353535353516</v>
      </c>
    </row>
    <row r="43" spans="1:66" hidden="1">
      <c r="A43" t="s">
        <v>151</v>
      </c>
      <c r="B43" s="17">
        <f>B42+1</f>
        <v>42</v>
      </c>
      <c r="C43" s="15">
        <v>1011</v>
      </c>
      <c r="D43" t="s">
        <v>165</v>
      </c>
      <c r="E43" t="s">
        <v>166</v>
      </c>
      <c r="F43" s="10" t="s">
        <v>167</v>
      </c>
      <c r="G43" s="10">
        <v>2009</v>
      </c>
      <c r="H43" s="10" t="s">
        <v>73</v>
      </c>
      <c r="I43">
        <v>40</v>
      </c>
      <c r="J43" t="s">
        <v>120</v>
      </c>
      <c r="K43" t="s">
        <v>94</v>
      </c>
      <c r="L43" s="17">
        <v>1</v>
      </c>
      <c r="M43">
        <v>0</v>
      </c>
      <c r="N43">
        <v>1</v>
      </c>
      <c r="O43">
        <v>0</v>
      </c>
      <c r="P43">
        <v>0</v>
      </c>
      <c r="Q43">
        <v>0</v>
      </c>
      <c r="R43">
        <v>0</v>
      </c>
      <c r="S43">
        <v>0</v>
      </c>
      <c r="T43">
        <v>1</v>
      </c>
      <c r="U43">
        <v>0</v>
      </c>
      <c r="V43">
        <v>0</v>
      </c>
      <c r="W43">
        <v>0</v>
      </c>
      <c r="X43">
        <v>0</v>
      </c>
      <c r="Y43">
        <v>0</v>
      </c>
      <c r="Z43" s="17" t="s">
        <v>168</v>
      </c>
      <c r="AA43" s="17" t="s">
        <v>78</v>
      </c>
      <c r="AB43" s="25">
        <v>3.5000000000000001E-3</v>
      </c>
      <c r="AC43" s="7" t="s">
        <v>86</v>
      </c>
      <c r="AD43" s="17">
        <v>1E-3</v>
      </c>
      <c r="AE43" s="20" t="s">
        <v>73</v>
      </c>
      <c r="AF43" t="s">
        <v>73</v>
      </c>
      <c r="AG43" t="s">
        <v>73</v>
      </c>
      <c r="AH43" t="s">
        <v>73</v>
      </c>
      <c r="AI43" t="s">
        <v>73</v>
      </c>
      <c r="AJ43" t="s">
        <v>73</v>
      </c>
      <c r="AK43" t="s">
        <v>73</v>
      </c>
      <c r="AL43">
        <v>12450</v>
      </c>
      <c r="AM43">
        <v>12450</v>
      </c>
      <c r="AN43" t="s">
        <v>73</v>
      </c>
      <c r="AO43" s="17">
        <v>3</v>
      </c>
      <c r="AP43">
        <f t="shared" ref="AP43:AP51" si="16">AB43/AD43</f>
        <v>3.5</v>
      </c>
      <c r="AQ43" t="s">
        <v>73</v>
      </c>
      <c r="AR43" t="s">
        <v>73</v>
      </c>
      <c r="AS43">
        <v>0</v>
      </c>
      <c r="AT43">
        <v>1</v>
      </c>
      <c r="AU43">
        <v>0</v>
      </c>
      <c r="AV43">
        <v>0</v>
      </c>
      <c r="AW43">
        <v>0</v>
      </c>
      <c r="AX43">
        <v>0</v>
      </c>
      <c r="AY43" t="s">
        <v>81</v>
      </c>
      <c r="AZ43" s="17" t="s">
        <v>73</v>
      </c>
      <c r="BA43" s="17" t="s">
        <v>73</v>
      </c>
      <c r="BB43" s="17">
        <v>0</v>
      </c>
      <c r="BC43" s="17">
        <v>0</v>
      </c>
      <c r="BD43" s="18" t="s">
        <v>83</v>
      </c>
      <c r="BE43" s="18" t="s">
        <v>83</v>
      </c>
      <c r="BF43" t="s">
        <v>73</v>
      </c>
      <c r="BI43" s="30">
        <f>(((AP43^2)/(AP43^2+AL43))^1/2)</f>
        <v>4.9148428253325042E-4</v>
      </c>
      <c r="BJ43" s="30">
        <f>- (((AP43^2)/(AP43^2+AM43))^1/2)</f>
        <v>-4.9148428253325042E-4</v>
      </c>
      <c r="BK43" s="30">
        <f t="shared" ref="BK43:BK53" si="17">0.5*LN((1+BJ43)/(1-BJ43))</f>
        <v>-4.9148432210700159E-4</v>
      </c>
      <c r="BL43" s="30">
        <f t="shared" ref="BL43:BL53" si="18">((1-(BK43^2)^2)/(AL43-1))</f>
        <v>8.0327737167639301E-5</v>
      </c>
      <c r="BM43" s="30">
        <f t="shared" ref="BM43:BM53" si="19">1/(AL43-3)</f>
        <v>8.0340644331967548E-5</v>
      </c>
    </row>
    <row r="44" spans="1:66" hidden="1">
      <c r="A44" t="s">
        <v>151</v>
      </c>
      <c r="B44" s="17">
        <f>B43+1</f>
        <v>43</v>
      </c>
      <c r="C44" s="15">
        <v>1011</v>
      </c>
      <c r="D44" t="s">
        <v>165</v>
      </c>
      <c r="E44" t="s">
        <v>166</v>
      </c>
      <c r="F44" s="10" t="s">
        <v>167</v>
      </c>
      <c r="G44" s="10">
        <v>2009</v>
      </c>
      <c r="H44" s="10" t="s">
        <v>73</v>
      </c>
      <c r="I44">
        <v>40</v>
      </c>
      <c r="J44" t="s">
        <v>120</v>
      </c>
      <c r="K44" t="s">
        <v>94</v>
      </c>
      <c r="L44" s="17">
        <v>1</v>
      </c>
      <c r="M44">
        <v>0</v>
      </c>
      <c r="N44">
        <v>1</v>
      </c>
      <c r="O44">
        <v>0</v>
      </c>
      <c r="P44">
        <v>0</v>
      </c>
      <c r="Q44">
        <v>0</v>
      </c>
      <c r="R44">
        <v>0</v>
      </c>
      <c r="S44">
        <v>0</v>
      </c>
      <c r="T44">
        <v>1</v>
      </c>
      <c r="U44">
        <v>0</v>
      </c>
      <c r="V44">
        <v>0</v>
      </c>
      <c r="W44">
        <v>0</v>
      </c>
      <c r="X44">
        <v>0</v>
      </c>
      <c r="Y44">
        <v>0</v>
      </c>
      <c r="Z44" s="17" t="s">
        <v>168</v>
      </c>
      <c r="AA44" s="17" t="s">
        <v>78</v>
      </c>
      <c r="AB44" s="25">
        <v>1.8000000000000001E-4</v>
      </c>
      <c r="AC44" s="7" t="s">
        <v>86</v>
      </c>
      <c r="AD44" s="17">
        <v>2.9999999999999997E-4</v>
      </c>
      <c r="AE44" s="20" t="s">
        <v>73</v>
      </c>
      <c r="AF44" t="s">
        <v>73</v>
      </c>
      <c r="AG44" t="s">
        <v>73</v>
      </c>
      <c r="AH44" t="s">
        <v>73</v>
      </c>
      <c r="AI44" t="s">
        <v>73</v>
      </c>
      <c r="AJ44" t="s">
        <v>73</v>
      </c>
      <c r="AK44" t="s">
        <v>73</v>
      </c>
      <c r="AL44">
        <v>12450</v>
      </c>
      <c r="AM44">
        <v>12450</v>
      </c>
      <c r="AN44" t="s">
        <v>73</v>
      </c>
      <c r="AO44" s="17">
        <v>3</v>
      </c>
      <c r="AP44">
        <f t="shared" si="16"/>
        <v>0.60000000000000009</v>
      </c>
      <c r="AQ44" t="s">
        <v>73</v>
      </c>
      <c r="AR44" t="s">
        <v>73</v>
      </c>
      <c r="AS44">
        <v>0</v>
      </c>
      <c r="AT44">
        <v>1</v>
      </c>
      <c r="AU44">
        <v>0</v>
      </c>
      <c r="AV44">
        <v>0</v>
      </c>
      <c r="AW44">
        <v>0</v>
      </c>
      <c r="AX44">
        <v>0</v>
      </c>
      <c r="AY44" t="s">
        <v>81</v>
      </c>
      <c r="AZ44" s="17" t="s">
        <v>73</v>
      </c>
      <c r="BA44" s="17" t="s">
        <v>73</v>
      </c>
      <c r="BB44" s="17">
        <v>0</v>
      </c>
      <c r="BC44" s="17">
        <v>0</v>
      </c>
      <c r="BD44" s="18" t="s">
        <v>83</v>
      </c>
      <c r="BE44" s="18" t="s">
        <v>83</v>
      </c>
      <c r="BF44" t="s">
        <v>73</v>
      </c>
      <c r="BI44" s="30">
        <f t="shared" ref="BI44:BI51" si="20">(((AP44^2)/(AP44^2+AL44))^1/2)</f>
        <v>1.4457413279616015E-5</v>
      </c>
      <c r="BJ44" s="30">
        <f>- (((AP44^2)/(AP44^2+AM44))^1/2)</f>
        <v>-1.4457413279616015E-5</v>
      </c>
      <c r="BK44" s="30">
        <f t="shared" si="17"/>
        <v>-1.4457413280689465E-5</v>
      </c>
      <c r="BL44" s="30">
        <f t="shared" si="18"/>
        <v>8.032773716764399E-5</v>
      </c>
      <c r="BM44" s="30">
        <f t="shared" si="19"/>
        <v>8.0340644331967548E-5</v>
      </c>
    </row>
    <row r="45" spans="1:66" hidden="1">
      <c r="A45" t="s">
        <v>151</v>
      </c>
      <c r="B45" s="17">
        <v>44</v>
      </c>
      <c r="C45" s="15">
        <v>1011</v>
      </c>
      <c r="D45" t="s">
        <v>165</v>
      </c>
      <c r="E45" t="s">
        <v>166</v>
      </c>
      <c r="F45" s="10" t="s">
        <v>167</v>
      </c>
      <c r="G45" s="10">
        <v>2009</v>
      </c>
      <c r="H45" s="10" t="s">
        <v>73</v>
      </c>
      <c r="I45">
        <v>40</v>
      </c>
      <c r="J45" t="s">
        <v>120</v>
      </c>
      <c r="K45" t="s">
        <v>94</v>
      </c>
      <c r="L45" s="17">
        <v>1</v>
      </c>
      <c r="M45">
        <v>0</v>
      </c>
      <c r="N45">
        <v>1</v>
      </c>
      <c r="O45">
        <v>0</v>
      </c>
      <c r="P45">
        <v>0</v>
      </c>
      <c r="Q45">
        <v>0</v>
      </c>
      <c r="R45">
        <v>0</v>
      </c>
      <c r="S45">
        <v>0</v>
      </c>
      <c r="T45">
        <v>1</v>
      </c>
      <c r="U45">
        <v>0</v>
      </c>
      <c r="V45">
        <v>0</v>
      </c>
      <c r="W45">
        <v>0</v>
      </c>
      <c r="X45">
        <v>0</v>
      </c>
      <c r="Y45">
        <v>0</v>
      </c>
      <c r="Z45" s="17" t="s">
        <v>168</v>
      </c>
      <c r="AA45" s="17" t="s">
        <v>78</v>
      </c>
      <c r="AB45" s="25">
        <v>1.2999999999999999E-4</v>
      </c>
      <c r="AC45" s="7" t="s">
        <v>80</v>
      </c>
      <c r="AD45" s="17">
        <v>5.0000000000000001E-4</v>
      </c>
      <c r="AE45" s="20" t="s">
        <v>73</v>
      </c>
      <c r="AF45" t="s">
        <v>73</v>
      </c>
      <c r="AG45" t="s">
        <v>73</v>
      </c>
      <c r="AH45" t="s">
        <v>73</v>
      </c>
      <c r="AI45" t="s">
        <v>73</v>
      </c>
      <c r="AJ45" t="s">
        <v>73</v>
      </c>
      <c r="AK45" t="s">
        <v>73</v>
      </c>
      <c r="AL45">
        <v>12450</v>
      </c>
      <c r="AM45">
        <v>12450</v>
      </c>
      <c r="AN45" t="s">
        <v>73</v>
      </c>
      <c r="AO45" s="17">
        <v>3</v>
      </c>
      <c r="AP45">
        <f t="shared" si="16"/>
        <v>0.25999999999999995</v>
      </c>
      <c r="AQ45" t="s">
        <v>73</v>
      </c>
      <c r="AR45" t="s">
        <v>73</v>
      </c>
      <c r="AS45">
        <v>0</v>
      </c>
      <c r="AT45">
        <v>1</v>
      </c>
      <c r="AU45">
        <v>0</v>
      </c>
      <c r="AV45">
        <v>0</v>
      </c>
      <c r="AW45">
        <v>0</v>
      </c>
      <c r="AX45">
        <v>0</v>
      </c>
      <c r="AY45" t="s">
        <v>81</v>
      </c>
      <c r="AZ45" s="17" t="s">
        <v>73</v>
      </c>
      <c r="BA45" s="17" t="s">
        <v>73</v>
      </c>
      <c r="BB45" s="17">
        <v>0</v>
      </c>
      <c r="BC45" s="17">
        <v>0</v>
      </c>
      <c r="BD45" s="18" t="s">
        <v>83</v>
      </c>
      <c r="BE45" s="18" t="s">
        <v>83</v>
      </c>
      <c r="BF45" t="s">
        <v>73</v>
      </c>
      <c r="BI45" s="30">
        <f t="shared" si="20"/>
        <v>2.7148446969075083E-6</v>
      </c>
      <c r="BJ45" s="30">
        <f>(((AP45^2)/(AP45^2+AM45))^1/2)</f>
        <v>2.7148446969075083E-6</v>
      </c>
      <c r="BK45" s="30">
        <f t="shared" si="17"/>
        <v>2.7148446968697823E-6</v>
      </c>
      <c r="BL45" s="30">
        <f t="shared" si="18"/>
        <v>8.032773716764399E-5</v>
      </c>
      <c r="BM45" s="30">
        <f t="shared" si="19"/>
        <v>8.0340644331967548E-5</v>
      </c>
    </row>
    <row r="46" spans="1:66" hidden="1">
      <c r="A46" t="s">
        <v>151</v>
      </c>
      <c r="B46" s="17">
        <f>B45+1</f>
        <v>45</v>
      </c>
      <c r="C46" s="15">
        <v>1011</v>
      </c>
      <c r="D46" t="s">
        <v>165</v>
      </c>
      <c r="E46" t="s">
        <v>166</v>
      </c>
      <c r="F46" s="10" t="s">
        <v>167</v>
      </c>
      <c r="G46" s="10">
        <v>2009</v>
      </c>
      <c r="H46" s="10" t="s">
        <v>73</v>
      </c>
      <c r="I46">
        <v>40</v>
      </c>
      <c r="J46" t="s">
        <v>120</v>
      </c>
      <c r="K46" t="s">
        <v>94</v>
      </c>
      <c r="L46" s="17">
        <v>1</v>
      </c>
      <c r="M46">
        <v>0</v>
      </c>
      <c r="N46">
        <v>1</v>
      </c>
      <c r="O46">
        <v>0</v>
      </c>
      <c r="P46">
        <v>0</v>
      </c>
      <c r="Q46">
        <v>0</v>
      </c>
      <c r="R46">
        <v>1</v>
      </c>
      <c r="S46">
        <v>0</v>
      </c>
      <c r="T46">
        <v>0</v>
      </c>
      <c r="U46">
        <v>0</v>
      </c>
      <c r="V46">
        <v>0</v>
      </c>
      <c r="W46">
        <v>0</v>
      </c>
      <c r="X46">
        <v>0</v>
      </c>
      <c r="Y46">
        <v>0</v>
      </c>
      <c r="Z46" s="17" t="s">
        <v>168</v>
      </c>
      <c r="AA46" s="17" t="s">
        <v>78</v>
      </c>
      <c r="AB46" s="25">
        <v>1.7000000000000001E-2</v>
      </c>
      <c r="AC46" s="7" t="s">
        <v>86</v>
      </c>
      <c r="AD46" s="17">
        <v>4.0000000000000001E-3</v>
      </c>
      <c r="AE46" s="20" t="s">
        <v>73</v>
      </c>
      <c r="AF46" t="s">
        <v>73</v>
      </c>
      <c r="AG46" t="s">
        <v>73</v>
      </c>
      <c r="AH46" t="s">
        <v>73</v>
      </c>
      <c r="AI46" t="s">
        <v>73</v>
      </c>
      <c r="AJ46" t="s">
        <v>73</v>
      </c>
      <c r="AK46" t="s">
        <v>73</v>
      </c>
      <c r="AL46">
        <v>12100</v>
      </c>
      <c r="AM46">
        <v>12100</v>
      </c>
      <c r="AN46" t="s">
        <v>73</v>
      </c>
      <c r="AO46" s="17">
        <v>3</v>
      </c>
      <c r="AP46">
        <f t="shared" si="16"/>
        <v>4.25</v>
      </c>
      <c r="AQ46" t="s">
        <v>73</v>
      </c>
      <c r="AR46" t="s">
        <v>73</v>
      </c>
      <c r="AS46">
        <v>0</v>
      </c>
      <c r="AT46">
        <v>1</v>
      </c>
      <c r="AU46">
        <v>0</v>
      </c>
      <c r="AV46">
        <v>0</v>
      </c>
      <c r="AW46">
        <v>0</v>
      </c>
      <c r="AX46">
        <v>0</v>
      </c>
      <c r="AY46" t="s">
        <v>81</v>
      </c>
      <c r="AZ46" s="17" t="s">
        <v>73</v>
      </c>
      <c r="BA46" s="17" t="s">
        <v>73</v>
      </c>
      <c r="BB46" s="17">
        <v>0</v>
      </c>
      <c r="BC46" s="17">
        <v>0</v>
      </c>
      <c r="BD46" s="18" t="s">
        <v>83</v>
      </c>
      <c r="BE46" s="18" t="s">
        <v>83</v>
      </c>
      <c r="BF46" t="s">
        <v>73</v>
      </c>
      <c r="BI46" s="30">
        <f t="shared" si="20"/>
        <v>7.4527177921388009E-4</v>
      </c>
      <c r="BJ46" s="30">
        <f>- (((AP46^2)/(AP46^2+AM46))^1/2)</f>
        <v>-7.4527177921388009E-4</v>
      </c>
      <c r="BK46" s="30">
        <f t="shared" si="17"/>
        <v>-7.4527191719599845E-4</v>
      </c>
      <c r="BL46" s="30">
        <f t="shared" si="18"/>
        <v>8.2651458798222292E-5</v>
      </c>
      <c r="BM46" s="30">
        <f t="shared" si="19"/>
        <v>8.2665123584359755E-5</v>
      </c>
    </row>
    <row r="47" spans="1:66" hidden="1">
      <c r="A47" t="s">
        <v>151</v>
      </c>
      <c r="B47" s="17">
        <f>B46+1</f>
        <v>46</v>
      </c>
      <c r="C47" s="15">
        <v>1011</v>
      </c>
      <c r="D47" t="s">
        <v>165</v>
      </c>
      <c r="E47" t="s">
        <v>166</v>
      </c>
      <c r="F47" s="10" t="s">
        <v>167</v>
      </c>
      <c r="G47" s="10">
        <v>2009</v>
      </c>
      <c r="H47" s="10" t="s">
        <v>73</v>
      </c>
      <c r="I47">
        <v>40</v>
      </c>
      <c r="J47" t="s">
        <v>120</v>
      </c>
      <c r="K47" t="s">
        <v>94</v>
      </c>
      <c r="L47" s="17">
        <v>1</v>
      </c>
      <c r="M47">
        <v>0</v>
      </c>
      <c r="N47">
        <v>1</v>
      </c>
      <c r="O47">
        <v>0</v>
      </c>
      <c r="P47">
        <v>0</v>
      </c>
      <c r="Q47">
        <v>0</v>
      </c>
      <c r="R47">
        <v>1</v>
      </c>
      <c r="S47">
        <v>0</v>
      </c>
      <c r="T47">
        <v>0</v>
      </c>
      <c r="U47">
        <v>0</v>
      </c>
      <c r="V47">
        <v>0</v>
      </c>
      <c r="W47">
        <v>0</v>
      </c>
      <c r="X47">
        <v>0</v>
      </c>
      <c r="Y47">
        <v>0</v>
      </c>
      <c r="Z47" s="17" t="s">
        <v>168</v>
      </c>
      <c r="AA47" s="17" t="s">
        <v>78</v>
      </c>
      <c r="AB47" s="25">
        <v>1.6999999999999999E-3</v>
      </c>
      <c r="AC47" s="7" t="s">
        <v>86</v>
      </c>
      <c r="AD47" s="17">
        <v>1E-3</v>
      </c>
      <c r="AE47" s="20" t="s">
        <v>73</v>
      </c>
      <c r="AF47" t="s">
        <v>73</v>
      </c>
      <c r="AG47" t="s">
        <v>73</v>
      </c>
      <c r="AH47" t="s">
        <v>73</v>
      </c>
      <c r="AI47" t="s">
        <v>73</v>
      </c>
      <c r="AJ47" t="s">
        <v>73</v>
      </c>
      <c r="AK47" t="s">
        <v>73</v>
      </c>
      <c r="AL47">
        <v>12100</v>
      </c>
      <c r="AM47">
        <v>12100</v>
      </c>
      <c r="AN47" t="s">
        <v>73</v>
      </c>
      <c r="AO47" s="17">
        <v>3</v>
      </c>
      <c r="AP47">
        <f t="shared" si="16"/>
        <v>1.7</v>
      </c>
      <c r="AQ47" t="s">
        <v>73</v>
      </c>
      <c r="AR47" t="s">
        <v>73</v>
      </c>
      <c r="AS47">
        <v>0</v>
      </c>
      <c r="AT47">
        <v>1</v>
      </c>
      <c r="AU47">
        <v>0</v>
      </c>
      <c r="AV47">
        <v>0</v>
      </c>
      <c r="AW47">
        <v>0</v>
      </c>
      <c r="AX47">
        <v>0</v>
      </c>
      <c r="AY47" t="s">
        <v>81</v>
      </c>
      <c r="AZ47" s="17" t="s">
        <v>73</v>
      </c>
      <c r="BA47" s="17" t="s">
        <v>73</v>
      </c>
      <c r="BB47" s="17">
        <v>0</v>
      </c>
      <c r="BC47" s="17">
        <v>0</v>
      </c>
      <c r="BD47" s="18" t="s">
        <v>83</v>
      </c>
      <c r="BE47" s="18" t="s">
        <v>83</v>
      </c>
      <c r="BF47" t="s">
        <v>73</v>
      </c>
      <c r="BI47" s="30">
        <f t="shared" si="20"/>
        <v>1.1939297143079049E-4</v>
      </c>
      <c r="BJ47" s="30">
        <f>-(((AP47^2)/(AP47^2+AM47))^1/2)</f>
        <v>-1.1939297143079049E-4</v>
      </c>
      <c r="BK47" s="30">
        <f t="shared" si="17"/>
        <v>-1.1939297199808206E-4</v>
      </c>
      <c r="BL47" s="30">
        <f t="shared" si="18"/>
        <v>8.2651458798247771E-5</v>
      </c>
      <c r="BM47" s="30">
        <f t="shared" si="19"/>
        <v>8.2665123584359755E-5</v>
      </c>
    </row>
    <row r="48" spans="1:66" hidden="1">
      <c r="A48" t="s">
        <v>151</v>
      </c>
      <c r="B48" s="17">
        <f>B47+1</f>
        <v>47</v>
      </c>
      <c r="C48" s="15">
        <v>1011</v>
      </c>
      <c r="D48" t="s">
        <v>165</v>
      </c>
      <c r="E48" t="s">
        <v>166</v>
      </c>
      <c r="F48" s="10" t="s">
        <v>167</v>
      </c>
      <c r="G48" s="10">
        <v>2009</v>
      </c>
      <c r="H48" s="10" t="s">
        <v>73</v>
      </c>
      <c r="I48">
        <v>40</v>
      </c>
      <c r="J48" t="s">
        <v>120</v>
      </c>
      <c r="K48" t="s">
        <v>94</v>
      </c>
      <c r="L48" s="17">
        <v>1</v>
      </c>
      <c r="M48">
        <v>0</v>
      </c>
      <c r="N48">
        <v>1</v>
      </c>
      <c r="O48">
        <v>0</v>
      </c>
      <c r="P48">
        <v>0</v>
      </c>
      <c r="Q48">
        <v>0</v>
      </c>
      <c r="R48">
        <v>1</v>
      </c>
      <c r="S48">
        <v>0</v>
      </c>
      <c r="T48">
        <v>0</v>
      </c>
      <c r="U48">
        <v>0</v>
      </c>
      <c r="V48">
        <v>0</v>
      </c>
      <c r="W48">
        <v>0</v>
      </c>
      <c r="X48">
        <v>0</v>
      </c>
      <c r="Y48">
        <v>0</v>
      </c>
      <c r="Z48" s="17" t="s">
        <v>168</v>
      </c>
      <c r="AA48" s="17" t="s">
        <v>78</v>
      </c>
      <c r="AB48" s="25">
        <v>2.9E-4</v>
      </c>
      <c r="AC48" s="7" t="s">
        <v>86</v>
      </c>
      <c r="AD48" s="17">
        <v>1E-3</v>
      </c>
      <c r="AE48" s="20" t="s">
        <v>73</v>
      </c>
      <c r="AF48" t="s">
        <v>73</v>
      </c>
      <c r="AG48" t="s">
        <v>73</v>
      </c>
      <c r="AH48" t="s">
        <v>73</v>
      </c>
      <c r="AI48" t="s">
        <v>73</v>
      </c>
      <c r="AJ48" t="s">
        <v>73</v>
      </c>
      <c r="AK48" t="s">
        <v>73</v>
      </c>
      <c r="AL48">
        <v>12100</v>
      </c>
      <c r="AM48">
        <v>12100</v>
      </c>
      <c r="AN48" t="s">
        <v>73</v>
      </c>
      <c r="AO48" s="17">
        <v>3</v>
      </c>
      <c r="AP48">
        <f t="shared" si="16"/>
        <v>0.28999999999999998</v>
      </c>
      <c r="AQ48" t="s">
        <v>73</v>
      </c>
      <c r="AR48" t="s">
        <v>73</v>
      </c>
      <c r="AS48">
        <v>0</v>
      </c>
      <c r="AT48">
        <v>1</v>
      </c>
      <c r="AU48">
        <v>0</v>
      </c>
      <c r="AV48">
        <v>0</v>
      </c>
      <c r="AW48">
        <v>0</v>
      </c>
      <c r="AX48">
        <v>0</v>
      </c>
      <c r="AY48" t="s">
        <v>81</v>
      </c>
      <c r="AZ48" s="17" t="s">
        <v>73</v>
      </c>
      <c r="BA48" s="17" t="s">
        <v>73</v>
      </c>
      <c r="BB48" s="17">
        <v>0</v>
      </c>
      <c r="BC48" s="17">
        <v>0</v>
      </c>
      <c r="BD48" s="18" t="s">
        <v>83</v>
      </c>
      <c r="BE48" s="18" t="s">
        <v>83</v>
      </c>
      <c r="BF48" t="s">
        <v>73</v>
      </c>
      <c r="BI48" s="30">
        <f t="shared" si="20"/>
        <v>3.4751824576161415E-6</v>
      </c>
      <c r="BJ48" s="30">
        <f>- (((AP48^2)/(AP48^2+AM48))^1/2)</f>
        <v>-3.4751824576161415E-6</v>
      </c>
      <c r="BK48" s="30">
        <f t="shared" si="17"/>
        <v>-3.4751824576052122E-6</v>
      </c>
      <c r="BL48" s="30">
        <f t="shared" si="18"/>
        <v>8.2651458798247785E-5</v>
      </c>
      <c r="BM48" s="30">
        <f t="shared" si="19"/>
        <v>8.2665123584359755E-5</v>
      </c>
    </row>
    <row r="49" spans="1:65" hidden="1">
      <c r="A49" t="s">
        <v>151</v>
      </c>
      <c r="B49" s="17">
        <v>48</v>
      </c>
      <c r="C49" s="15">
        <v>1011</v>
      </c>
      <c r="D49" t="s">
        <v>165</v>
      </c>
      <c r="E49" t="s">
        <v>166</v>
      </c>
      <c r="F49" s="10" t="s">
        <v>167</v>
      </c>
      <c r="G49" s="10">
        <v>2009</v>
      </c>
      <c r="H49" s="10" t="s">
        <v>73</v>
      </c>
      <c r="I49">
        <v>40</v>
      </c>
      <c r="J49" t="s">
        <v>120</v>
      </c>
      <c r="K49" t="s">
        <v>94</v>
      </c>
      <c r="L49" s="17">
        <v>1</v>
      </c>
      <c r="M49">
        <v>0</v>
      </c>
      <c r="N49">
        <v>1</v>
      </c>
      <c r="O49">
        <v>0</v>
      </c>
      <c r="P49">
        <v>0</v>
      </c>
      <c r="Q49">
        <v>0</v>
      </c>
      <c r="R49">
        <v>0</v>
      </c>
      <c r="S49">
        <v>1</v>
      </c>
      <c r="T49">
        <v>0</v>
      </c>
      <c r="U49">
        <v>0</v>
      </c>
      <c r="V49">
        <v>0</v>
      </c>
      <c r="W49">
        <v>0</v>
      </c>
      <c r="X49">
        <v>0</v>
      </c>
      <c r="Y49">
        <v>0</v>
      </c>
      <c r="Z49" s="17" t="s">
        <v>168</v>
      </c>
      <c r="AA49" s="17" t="s">
        <v>78</v>
      </c>
      <c r="AB49" s="25">
        <v>5.5999999999999995E-4</v>
      </c>
      <c r="AC49" s="7" t="s">
        <v>86</v>
      </c>
      <c r="AD49" s="17">
        <v>0</v>
      </c>
      <c r="AE49" s="20" t="s">
        <v>73</v>
      </c>
      <c r="AF49" t="s">
        <v>73</v>
      </c>
      <c r="AG49" t="s">
        <v>73</v>
      </c>
      <c r="AH49" t="s">
        <v>73</v>
      </c>
      <c r="AI49" t="s">
        <v>73</v>
      </c>
      <c r="AJ49" t="s">
        <v>73</v>
      </c>
      <c r="AK49" t="s">
        <v>73</v>
      </c>
      <c r="AL49">
        <v>12600</v>
      </c>
      <c r="AM49">
        <v>12600</v>
      </c>
      <c r="AN49" t="s">
        <v>73</v>
      </c>
      <c r="AO49" s="17">
        <v>3</v>
      </c>
      <c r="AP49" t="e">
        <f>AB49/AD49</f>
        <v>#DIV/0!</v>
      </c>
      <c r="AQ49" t="s">
        <v>73</v>
      </c>
      <c r="AR49" t="s">
        <v>73</v>
      </c>
      <c r="AS49">
        <v>0</v>
      </c>
      <c r="AT49">
        <v>1</v>
      </c>
      <c r="AU49">
        <v>0</v>
      </c>
      <c r="AV49">
        <v>0</v>
      </c>
      <c r="AW49">
        <v>0</v>
      </c>
      <c r="AX49">
        <v>0</v>
      </c>
      <c r="AY49" t="s">
        <v>81</v>
      </c>
      <c r="AZ49" s="17" t="s">
        <v>73</v>
      </c>
      <c r="BA49" s="17" t="s">
        <v>73</v>
      </c>
      <c r="BB49" s="17">
        <v>0</v>
      </c>
      <c r="BC49" s="17">
        <v>0</v>
      </c>
      <c r="BD49" s="18" t="s">
        <v>83</v>
      </c>
      <c r="BE49" s="18" t="s">
        <v>83</v>
      </c>
      <c r="BF49" t="s">
        <v>73</v>
      </c>
      <c r="BI49" s="30">
        <v>0</v>
      </c>
      <c r="BJ49" s="30">
        <v>0</v>
      </c>
      <c r="BK49" s="30">
        <f t="shared" si="17"/>
        <v>0</v>
      </c>
      <c r="BL49" s="30">
        <f t="shared" si="18"/>
        <v>7.9371378680847689E-5</v>
      </c>
      <c r="BM49" s="30">
        <f t="shared" si="19"/>
        <v>7.9383980312772889E-5</v>
      </c>
    </row>
    <row r="50" spans="1:65" hidden="1">
      <c r="A50" t="s">
        <v>151</v>
      </c>
      <c r="B50" s="17">
        <f>B49+1</f>
        <v>49</v>
      </c>
      <c r="C50" s="15">
        <v>1011</v>
      </c>
      <c r="D50" t="s">
        <v>165</v>
      </c>
      <c r="E50" t="s">
        <v>166</v>
      </c>
      <c r="F50" s="10" t="s">
        <v>167</v>
      </c>
      <c r="G50" s="10">
        <v>2009</v>
      </c>
      <c r="H50" s="10" t="s">
        <v>73</v>
      </c>
      <c r="I50">
        <v>40</v>
      </c>
      <c r="J50" t="s">
        <v>120</v>
      </c>
      <c r="K50" t="s">
        <v>94</v>
      </c>
      <c r="L50" s="17">
        <v>1</v>
      </c>
      <c r="M50">
        <v>0</v>
      </c>
      <c r="N50">
        <v>1</v>
      </c>
      <c r="O50">
        <v>0</v>
      </c>
      <c r="P50">
        <v>0</v>
      </c>
      <c r="Q50">
        <v>0</v>
      </c>
      <c r="R50">
        <v>0</v>
      </c>
      <c r="S50">
        <v>1</v>
      </c>
      <c r="T50">
        <v>0</v>
      </c>
      <c r="U50">
        <v>0</v>
      </c>
      <c r="V50">
        <v>0</v>
      </c>
      <c r="W50">
        <v>0</v>
      </c>
      <c r="X50">
        <v>0</v>
      </c>
      <c r="Y50">
        <v>0</v>
      </c>
      <c r="Z50" s="17" t="s">
        <v>168</v>
      </c>
      <c r="AA50" s="17" t="s">
        <v>78</v>
      </c>
      <c r="AB50" s="25">
        <v>1.4999999999999999E-4</v>
      </c>
      <c r="AC50" s="7" t="s">
        <v>86</v>
      </c>
      <c r="AD50" s="17">
        <v>2.9999999999999997E-4</v>
      </c>
      <c r="AE50" s="20" t="s">
        <v>73</v>
      </c>
      <c r="AF50" t="s">
        <v>73</v>
      </c>
      <c r="AG50" t="s">
        <v>73</v>
      </c>
      <c r="AH50" t="s">
        <v>73</v>
      </c>
      <c r="AI50" t="s">
        <v>73</v>
      </c>
      <c r="AJ50" t="s">
        <v>73</v>
      </c>
      <c r="AK50" t="s">
        <v>73</v>
      </c>
      <c r="AL50">
        <v>12600</v>
      </c>
      <c r="AM50">
        <v>12600</v>
      </c>
      <c r="AN50" t="s">
        <v>73</v>
      </c>
      <c r="AO50" s="17">
        <v>3</v>
      </c>
      <c r="AP50">
        <f t="shared" si="16"/>
        <v>0.5</v>
      </c>
      <c r="AQ50" t="s">
        <v>73</v>
      </c>
      <c r="AR50" t="s">
        <v>73</v>
      </c>
      <c r="AS50">
        <v>0</v>
      </c>
      <c r="AT50">
        <v>1</v>
      </c>
      <c r="AU50">
        <v>0</v>
      </c>
      <c r="AV50">
        <v>0</v>
      </c>
      <c r="AW50">
        <v>0</v>
      </c>
      <c r="AX50">
        <v>0</v>
      </c>
      <c r="AY50" t="s">
        <v>81</v>
      </c>
      <c r="AZ50" s="17" t="s">
        <v>73</v>
      </c>
      <c r="BA50" s="17" t="s">
        <v>73</v>
      </c>
      <c r="BB50" s="17">
        <v>0</v>
      </c>
      <c r="BC50" s="17">
        <v>0</v>
      </c>
      <c r="BD50" s="18" t="s">
        <v>83</v>
      </c>
      <c r="BE50" s="18" t="s">
        <v>83</v>
      </c>
      <c r="BF50" t="s">
        <v>73</v>
      </c>
      <c r="BI50" s="30">
        <f t="shared" si="20"/>
        <v>9.9204380865459011E-6</v>
      </c>
      <c r="BJ50" s="30">
        <f>- (((AP50^2)/(AP50^2+AM50))^1/2)</f>
        <v>-9.9204380865459011E-6</v>
      </c>
      <c r="BK50" s="30">
        <f t="shared" si="17"/>
        <v>-9.9204380868943857E-6</v>
      </c>
      <c r="BL50" s="30">
        <f t="shared" si="18"/>
        <v>7.9371378680847689E-5</v>
      </c>
      <c r="BM50" s="30">
        <f t="shared" si="19"/>
        <v>7.9383980312772889E-5</v>
      </c>
    </row>
    <row r="51" spans="1:65" hidden="1">
      <c r="A51" t="s">
        <v>151</v>
      </c>
      <c r="B51" s="17">
        <f>B50+1</f>
        <v>50</v>
      </c>
      <c r="C51" s="15">
        <v>1011</v>
      </c>
      <c r="D51" t="s">
        <v>165</v>
      </c>
      <c r="E51" t="s">
        <v>166</v>
      </c>
      <c r="F51" s="10" t="s">
        <v>167</v>
      </c>
      <c r="G51" s="10">
        <v>2009</v>
      </c>
      <c r="H51" s="10" t="s">
        <v>73</v>
      </c>
      <c r="I51">
        <v>40</v>
      </c>
      <c r="J51" t="s">
        <v>120</v>
      </c>
      <c r="K51" t="s">
        <v>94</v>
      </c>
      <c r="L51" s="17">
        <v>1</v>
      </c>
      <c r="M51">
        <v>0</v>
      </c>
      <c r="N51">
        <v>1</v>
      </c>
      <c r="O51">
        <v>0</v>
      </c>
      <c r="P51">
        <v>0</v>
      </c>
      <c r="Q51">
        <v>0</v>
      </c>
      <c r="R51">
        <v>0</v>
      </c>
      <c r="S51">
        <v>1</v>
      </c>
      <c r="T51">
        <v>0</v>
      </c>
      <c r="U51">
        <v>0</v>
      </c>
      <c r="V51">
        <v>0</v>
      </c>
      <c r="W51">
        <v>0</v>
      </c>
      <c r="X51">
        <v>0</v>
      </c>
      <c r="Y51">
        <v>0</v>
      </c>
      <c r="Z51" s="17" t="s">
        <v>168</v>
      </c>
      <c r="AA51" s="17" t="s">
        <v>78</v>
      </c>
      <c r="AB51" s="25">
        <v>1.3999999999999999E-4</v>
      </c>
      <c r="AC51" s="7" t="s">
        <v>86</v>
      </c>
      <c r="AD51" s="17">
        <v>2.9999999999999997E-4</v>
      </c>
      <c r="AE51" s="20" t="s">
        <v>73</v>
      </c>
      <c r="AF51" t="s">
        <v>73</v>
      </c>
      <c r="AG51" t="s">
        <v>73</v>
      </c>
      <c r="AH51" t="s">
        <v>73</v>
      </c>
      <c r="AI51" t="s">
        <v>73</v>
      </c>
      <c r="AJ51" t="s">
        <v>73</v>
      </c>
      <c r="AK51" t="s">
        <v>73</v>
      </c>
      <c r="AL51">
        <v>12600</v>
      </c>
      <c r="AM51">
        <v>12600</v>
      </c>
      <c r="AN51" t="s">
        <v>73</v>
      </c>
      <c r="AO51" s="17">
        <v>3</v>
      </c>
      <c r="AP51">
        <f t="shared" si="16"/>
        <v>0.46666666666666667</v>
      </c>
      <c r="AQ51" t="s">
        <v>73</v>
      </c>
      <c r="AR51" t="s">
        <v>73</v>
      </c>
      <c r="AS51">
        <v>0</v>
      </c>
      <c r="AT51">
        <v>1</v>
      </c>
      <c r="AU51">
        <v>0</v>
      </c>
      <c r="AV51">
        <v>0</v>
      </c>
      <c r="AW51">
        <v>0</v>
      </c>
      <c r="AX51">
        <v>0</v>
      </c>
      <c r="AY51" t="s">
        <v>81</v>
      </c>
      <c r="AZ51" s="17" t="s">
        <v>73</v>
      </c>
      <c r="BA51" s="17" t="s">
        <v>73</v>
      </c>
      <c r="BB51" s="17">
        <v>0</v>
      </c>
      <c r="BC51" s="17">
        <v>0</v>
      </c>
      <c r="BD51" s="18" t="s">
        <v>83</v>
      </c>
      <c r="BE51" s="18" t="s">
        <v>83</v>
      </c>
      <c r="BF51" t="s">
        <v>73</v>
      </c>
      <c r="BI51" s="30">
        <f t="shared" si="20"/>
        <v>8.6418259437491216E-6</v>
      </c>
      <c r="BJ51" s="30">
        <f>- (((AP51^2)/(AP51^2+AM51))^1/2)</f>
        <v>-8.6418259437491216E-6</v>
      </c>
      <c r="BK51" s="30">
        <f t="shared" si="17"/>
        <v>-8.6418259439751236E-6</v>
      </c>
      <c r="BL51" s="30">
        <f t="shared" si="18"/>
        <v>7.9371378680847689E-5</v>
      </c>
      <c r="BM51" s="30">
        <f t="shared" si="19"/>
        <v>7.9383980312772889E-5</v>
      </c>
    </row>
    <row r="52" spans="1:65" s="42" customFormat="1">
      <c r="A52" s="42" t="s">
        <v>68</v>
      </c>
      <c r="B52" s="42">
        <f>B51+1</f>
        <v>51</v>
      </c>
      <c r="C52" s="42">
        <v>1012</v>
      </c>
      <c r="D52" s="42" t="s">
        <v>169</v>
      </c>
      <c r="E52" s="42" t="s">
        <v>170</v>
      </c>
      <c r="F52" s="42" t="s">
        <v>171</v>
      </c>
      <c r="G52" s="42">
        <v>2010</v>
      </c>
      <c r="H52" s="42" t="s">
        <v>73</v>
      </c>
      <c r="I52" s="42">
        <v>11</v>
      </c>
      <c r="J52" s="42" t="s">
        <v>172</v>
      </c>
      <c r="K52" s="42" t="s">
        <v>76</v>
      </c>
      <c r="L52" s="42">
        <v>1</v>
      </c>
      <c r="M52" s="42">
        <v>0</v>
      </c>
      <c r="N52" s="42">
        <v>0</v>
      </c>
      <c r="O52" s="42">
        <v>0</v>
      </c>
      <c r="P52" s="42">
        <v>1</v>
      </c>
      <c r="Q52" s="42">
        <v>0</v>
      </c>
      <c r="R52" s="42">
        <v>1</v>
      </c>
      <c r="S52" s="42">
        <v>0</v>
      </c>
      <c r="T52" s="42">
        <v>0</v>
      </c>
      <c r="U52" s="42">
        <v>0</v>
      </c>
      <c r="V52" s="42">
        <v>0</v>
      </c>
      <c r="W52" s="42">
        <v>0</v>
      </c>
      <c r="X52" s="42">
        <v>0</v>
      </c>
      <c r="Y52" s="42">
        <v>0</v>
      </c>
      <c r="Z52" s="42" t="s">
        <v>164</v>
      </c>
      <c r="AA52" s="42" t="s">
        <v>173</v>
      </c>
      <c r="AB52" s="54">
        <v>2.3E-2</v>
      </c>
      <c r="AC52" s="49" t="s">
        <v>80</v>
      </c>
      <c r="AD52" s="42" t="s">
        <v>73</v>
      </c>
      <c r="AE52" s="42" t="s">
        <v>73</v>
      </c>
      <c r="AF52" s="42" t="s">
        <v>73</v>
      </c>
      <c r="AG52" s="42">
        <v>13471</v>
      </c>
      <c r="AH52" s="42" t="s">
        <v>73</v>
      </c>
      <c r="AI52" s="42" t="s">
        <v>73</v>
      </c>
      <c r="AJ52" s="42">
        <v>5672</v>
      </c>
      <c r="AK52" s="42" t="s">
        <v>73</v>
      </c>
      <c r="AL52" s="42">
        <f>AG52+AJ52</f>
        <v>19143</v>
      </c>
      <c r="AM52" s="42">
        <v>19143</v>
      </c>
      <c r="AN52" s="42">
        <v>0.1</v>
      </c>
      <c r="AO52" s="42">
        <v>1</v>
      </c>
      <c r="AP52" s="42" t="s">
        <v>73</v>
      </c>
      <c r="AQ52" s="42" t="s">
        <v>73</v>
      </c>
      <c r="AR52" s="42" t="s">
        <v>73</v>
      </c>
      <c r="AS52" s="42">
        <v>0</v>
      </c>
      <c r="AT52" s="42">
        <v>0</v>
      </c>
      <c r="AU52" s="42">
        <v>0</v>
      </c>
      <c r="AV52" s="42">
        <v>0</v>
      </c>
      <c r="AW52" s="42">
        <v>0</v>
      </c>
      <c r="AX52" s="42">
        <v>0</v>
      </c>
      <c r="AY52" s="42" t="s">
        <v>174</v>
      </c>
      <c r="AZ52" s="42" t="s">
        <v>73</v>
      </c>
      <c r="BA52" s="42" t="s">
        <v>73</v>
      </c>
      <c r="BB52" s="42">
        <v>0</v>
      </c>
      <c r="BC52" s="42">
        <v>0</v>
      </c>
      <c r="BD52" s="44" t="s">
        <v>83</v>
      </c>
      <c r="BE52" s="44" t="s">
        <v>83</v>
      </c>
      <c r="BF52" s="42" t="s">
        <v>73</v>
      </c>
      <c r="BG52" s="42">
        <f>5*4.345</f>
        <v>21.724999999999998</v>
      </c>
      <c r="BH52" s="42">
        <v>0</v>
      </c>
      <c r="BI52" s="52">
        <v>0</v>
      </c>
      <c r="BJ52" s="52">
        <v>0</v>
      </c>
      <c r="BK52" s="52">
        <f t="shared" si="17"/>
        <v>0</v>
      </c>
      <c r="BL52" s="52">
        <f t="shared" si="18"/>
        <v>5.2241145125901161E-5</v>
      </c>
      <c r="BM52" s="52">
        <f t="shared" si="19"/>
        <v>5.2246603970741903E-5</v>
      </c>
    </row>
    <row r="53" spans="1:65" s="42" customFormat="1">
      <c r="A53" s="42" t="s">
        <v>68</v>
      </c>
      <c r="B53" s="42">
        <v>52</v>
      </c>
      <c r="C53" s="42">
        <v>1013</v>
      </c>
      <c r="D53" s="42" t="s">
        <v>175</v>
      </c>
      <c r="E53" s="42" t="s">
        <v>176</v>
      </c>
      <c r="F53" s="42" t="s">
        <v>177</v>
      </c>
      <c r="G53" s="42">
        <v>2011</v>
      </c>
      <c r="H53" s="42" t="s">
        <v>73</v>
      </c>
      <c r="I53" s="42">
        <v>280</v>
      </c>
      <c r="J53" s="42" t="s">
        <v>93</v>
      </c>
      <c r="K53" s="42" t="s">
        <v>94</v>
      </c>
      <c r="L53" s="42">
        <v>1</v>
      </c>
      <c r="M53" s="42">
        <v>0</v>
      </c>
      <c r="N53" s="42">
        <v>1</v>
      </c>
      <c r="O53" s="42">
        <v>0</v>
      </c>
      <c r="P53" s="42">
        <v>0</v>
      </c>
      <c r="Q53" s="42">
        <v>0</v>
      </c>
      <c r="R53" s="42">
        <v>0</v>
      </c>
      <c r="S53" s="42">
        <v>0</v>
      </c>
      <c r="T53" s="42">
        <v>0</v>
      </c>
      <c r="U53" s="42">
        <v>1</v>
      </c>
      <c r="V53" s="42">
        <v>0</v>
      </c>
      <c r="W53" s="42">
        <v>0</v>
      </c>
      <c r="X53" s="42">
        <v>0</v>
      </c>
      <c r="Y53" s="42">
        <v>0</v>
      </c>
      <c r="Z53" s="42" t="s">
        <v>73</v>
      </c>
      <c r="AA53" s="42" t="s">
        <v>178</v>
      </c>
      <c r="AB53" s="50">
        <v>3.5900000000000001E-2</v>
      </c>
      <c r="AC53" s="49" t="s">
        <v>86</v>
      </c>
      <c r="AD53" s="42" t="s">
        <v>73</v>
      </c>
      <c r="AE53" s="42">
        <v>8</v>
      </c>
      <c r="AF53" s="42" t="s">
        <v>73</v>
      </c>
      <c r="AG53" s="42" t="s">
        <v>73</v>
      </c>
      <c r="AH53" s="42" t="s">
        <v>73</v>
      </c>
      <c r="AI53" s="42" t="s">
        <v>73</v>
      </c>
      <c r="AJ53" s="42" t="s">
        <v>73</v>
      </c>
      <c r="AK53" s="42" t="s">
        <v>73</v>
      </c>
      <c r="AL53" s="42">
        <v>1153</v>
      </c>
      <c r="AM53" s="42">
        <v>13923</v>
      </c>
      <c r="AN53" s="42" t="s">
        <v>73</v>
      </c>
      <c r="AO53" s="42">
        <v>3</v>
      </c>
      <c r="AP53" s="42">
        <v>1.01</v>
      </c>
      <c r="AQ53" s="42" t="s">
        <v>73</v>
      </c>
      <c r="AR53" s="42" t="s">
        <v>73</v>
      </c>
      <c r="AS53" s="42">
        <v>1</v>
      </c>
      <c r="AT53" s="42">
        <v>1</v>
      </c>
      <c r="AU53" s="42">
        <v>1</v>
      </c>
      <c r="AV53" s="42">
        <v>1</v>
      </c>
      <c r="AW53" s="42">
        <v>1</v>
      </c>
      <c r="AX53" s="42">
        <v>1</v>
      </c>
      <c r="AY53" s="42" t="s">
        <v>81</v>
      </c>
      <c r="AZ53" s="41">
        <v>1775.53</v>
      </c>
      <c r="BA53" s="42" t="s">
        <v>179</v>
      </c>
      <c r="BB53" s="42">
        <v>0</v>
      </c>
      <c r="BC53" s="42">
        <v>1</v>
      </c>
      <c r="BD53" s="44" t="s">
        <v>139</v>
      </c>
      <c r="BE53" s="44" t="s">
        <v>83</v>
      </c>
      <c r="BF53" s="42" t="s">
        <v>180</v>
      </c>
      <c r="BG53" s="42">
        <f>5*52.179</f>
        <v>260.89499999999998</v>
      </c>
      <c r="BH53" s="42">
        <v>0</v>
      </c>
      <c r="BI53" s="52">
        <f>(((AP53^2)/(AP53^2+AL53))^1/2)</f>
        <v>4.4197670387196897E-4</v>
      </c>
      <c r="BJ53" s="52">
        <f>- (((AP53^2)/(AP53^2+AM53))^1/2)</f>
        <v>-3.663094396136357E-5</v>
      </c>
      <c r="BK53" s="52">
        <f t="shared" si="17"/>
        <v>-3.6630943977768261E-5</v>
      </c>
      <c r="BL53" s="52">
        <f t="shared" si="18"/>
        <v>8.6805555555555551E-4</v>
      </c>
      <c r="BM53" s="52">
        <f t="shared" si="19"/>
        <v>8.6956521739130438E-4</v>
      </c>
    </row>
  </sheetData>
  <dataConsolidate/>
  <dataValidations count="10">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M11:M12 N29:N32 M14:M16 L1:L1048576" xr:uid="{00000000-0002-0000-0000-000000000000}">
      <formula1>0</formula1>
      <formula2>2</formula2>
    </dataValidation>
    <dataValidation type="whole" allowBlank="1" showInputMessage="1" showErrorMessage="1" prompt="Yes - 1_x000a_No - 0_x000a_" sqref="R1:W1 R2:Y9 X10:X12 BB43:BB52 BC29:BC32 S23:Y28 BB39:BC42 BC43:BC51 BC17:BC22 BB54:BB1048576 BB13:BC16 R33:Y1048576 BB17:BB38 BB1:BB12" xr:uid="{00000000-0002-0000-0000-000001000000}">
      <formula1>0</formula1>
      <formula2>1</formula2>
    </dataValidation>
    <dataValidation type="whole" allowBlank="1" showInputMessage="1" showErrorMessage="1" errorTitle="int" error="Choose 1 or 0" promptTitle="Intervention" prompt="Yes - 1_x000a_No - 0" sqref="M1:Q9 M10 Y10:Y12 N10:W12 O29:Y32 P23:R28 N17:O28 P17:Y22 M13 N13:Y16 M17:M32 M33:Q1048576" xr:uid="{00000000-0002-0000-0000-000002000000}">
      <formula1>0</formula1>
      <formula2>1</formula2>
    </dataValidation>
    <dataValidation type="whole" allowBlank="1" showInputMessage="1" showErrorMessage="1" prompt="1- lower bound_x000a_2 - upper bound_x000a_3- actual" sqref="AO54:AO1048576 AO43:AO52 AO1:AO38" xr:uid="{00000000-0002-0000-0000-000003000000}">
      <formula1>0</formula1>
      <formula2>3</formula2>
    </dataValidation>
    <dataValidation allowBlank="1" showInputMessage="1" showErrorMessage="1" prompt="Yes - 1_x000a_No - 0_x000a_" sqref="X1" xr:uid="{00000000-0002-0000-0000-000004000000}"/>
    <dataValidation allowBlank="1" showInputMessage="1" showErrorMessage="1" sqref="BA53 AR53" xr:uid="{00000000-0002-0000-0000-000005000000}"/>
    <dataValidation type="list" allowBlank="1" showInputMessage="1" showErrorMessage="1" sqref="J23:J37 J1:J12" xr:uid="{00000000-0002-0000-0000-000006000000}">
      <formula1>$F$2:$F$9</formula1>
    </dataValidation>
    <dataValidation type="list" allowBlank="1" showInputMessage="1" showErrorMessage="1" sqref="K23:K37 K1:K12" xr:uid="{00000000-0002-0000-0000-000007000000}">
      <formula1>$D$2:$D$6</formula1>
    </dataValidation>
    <dataValidation type="list" allowBlank="1" showInputMessage="1" showErrorMessage="1" sqref="K43:K51" xr:uid="{00000000-0002-0000-0000-000008000000}">
      <formula1>$D$2:$D$7</formula1>
    </dataValidation>
    <dataValidation type="list" allowBlank="1" showInputMessage="1" showErrorMessage="1" sqref="J43:J51" xr:uid="{00000000-0002-0000-0000-000009000000}">
      <formula1>$F$2:$F$10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prompt="Option to Opt/in - 1_x000a_No Option to Opt/in - 0_x000a_NA_x000a__x000a_" xr:uid="{00000000-0002-0000-0000-00000A000000}">
          <x14:formula1>
            <xm:f>'Lists for variables'!$B$2:$B$4</xm:f>
          </x14:formula1>
          <xm:sqref>BC23:BC28 BC54:BC1048576 BC33:BC38 BC1:BC12</xm:sqref>
        </x14:dataValidation>
        <x14:dataValidation type="list" allowBlank="1" showInputMessage="1" showErrorMessage="1" xr:uid="{00000000-0002-0000-0000-00000B000000}">
          <x14:formula1>
            <xm:f>'Lists for variables'!$F$2:$F$9</xm:f>
          </x14:formula1>
          <xm:sqref>J54:J1048576</xm:sqref>
        </x14:dataValidation>
        <x14:dataValidation type="list" allowBlank="1" showInputMessage="1" showErrorMessage="1" xr:uid="{00000000-0002-0000-0000-00000C000000}">
          <x14:formula1>
            <xm:f>'Lists for variables'!$A$2:$A$4</xm:f>
          </x14:formula1>
          <xm:sqref>AS43:AX51 AS54:AX1048576 AS23:AX38 AS2:AX12</xm:sqref>
        </x14:dataValidation>
        <x14:dataValidation type="list" allowBlank="1" showInputMessage="1" showErrorMessage="1" xr:uid="{00000000-0002-0000-0000-00000D000000}">
          <x14:formula1>
            <xm:f>'Lists for variables'!$F$2:$F$10</xm:f>
          </x14:formula1>
          <xm:sqref>J38</xm:sqref>
        </x14:dataValidation>
        <x14:dataValidation type="list" allowBlank="1" showInputMessage="1" showErrorMessage="1" xr:uid="{00000000-0002-0000-0000-00000E000000}">
          <x14:formula1>
            <xm:f>'Lists for variables'!$E$2:$E$4</xm:f>
          </x14:formula1>
          <xm:sqref>AO43:AO51</xm:sqref>
        </x14:dataValidation>
        <x14:dataValidation type="list" allowBlank="1" showInputMessage="1" showErrorMessage="1" xr:uid="{00000000-0002-0000-0000-00000F000000}">
          <x14:formula1>
            <xm:f>'Lists for variables'!$D$2:$D$6</xm:f>
          </x14:formula1>
          <xm:sqref>K54:K1048576</xm:sqref>
        </x14:dataValidation>
        <x14:dataValidation type="list" allowBlank="1" showInputMessage="1" showErrorMessage="1" xr:uid="{00000000-0002-0000-0000-000010000000}">
          <x14:formula1>
            <xm:f>'Lists for variables'!$D$2:$D$7</xm:f>
          </x14:formula1>
          <xm:sqref>K38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53"/>
  <sheetViews>
    <sheetView tabSelected="1" zoomScale="90" zoomScaleNormal="160" workbookViewId="0">
      <pane xSplit="1" ySplit="1" topLeftCell="AS101" activePane="bottomRight" state="frozen"/>
      <selection pane="topRight" activeCell="B1" sqref="B1"/>
      <selection pane="bottomLeft" activeCell="A2" sqref="A2"/>
      <selection pane="bottomRight" activeCell="BB56" sqref="BB56"/>
    </sheetView>
  </sheetViews>
  <sheetFormatPr baseColWidth="10" defaultColWidth="11" defaultRowHeight="15.75" customHeight="1"/>
  <cols>
    <col min="5" max="5" width="24.6640625" customWidth="1"/>
    <col min="6" max="6" width="17.6640625" customWidth="1"/>
    <col min="7" max="7" width="14.1640625" customWidth="1"/>
    <col min="8" max="8" width="16.5" customWidth="1"/>
    <col min="9" max="9" width="11" customWidth="1"/>
    <col min="10" max="10" width="16.1640625" customWidth="1"/>
    <col min="11" max="11" width="15.1640625" bestFit="1" customWidth="1"/>
    <col min="13" max="13" width="20.6640625" bestFit="1" customWidth="1"/>
    <col min="14" max="14" width="13.1640625" customWidth="1"/>
    <col min="15" max="15" width="11" customWidth="1"/>
    <col min="16" max="16" width="14.6640625" customWidth="1"/>
    <col min="17" max="17" width="13.1640625" customWidth="1"/>
    <col min="18" max="18" width="15" customWidth="1"/>
    <col min="19" max="19" width="14.1640625" customWidth="1"/>
    <col min="20" max="20" width="11" customWidth="1"/>
    <col min="21" max="21" width="21.1640625" customWidth="1"/>
    <col min="22" max="22" width="16" customWidth="1"/>
    <col min="23" max="23" width="14.6640625" customWidth="1"/>
    <col min="24" max="24" width="12.5" customWidth="1"/>
    <col min="25" max="33" width="11" customWidth="1"/>
    <col min="34" max="35" width="16" customWidth="1"/>
    <col min="36" max="39" width="11" customWidth="1"/>
    <col min="40" max="41" width="12.1640625" customWidth="1"/>
    <col min="42" max="42" width="11" customWidth="1"/>
    <col min="43" max="43" width="27.6640625" customWidth="1"/>
    <col min="44" max="44" width="41.1640625" bestFit="1" customWidth="1"/>
    <col min="45" max="45" width="54.6640625" customWidth="1"/>
    <col min="46" max="46" width="21" customWidth="1"/>
    <col min="47" max="47" width="26.6640625" style="7" customWidth="1"/>
    <col min="48" max="48" width="14.1640625" style="7" customWidth="1"/>
    <col min="49" max="49" width="13.1640625" customWidth="1"/>
    <col min="50" max="50" width="9.6640625" customWidth="1"/>
    <col min="51" max="51" width="17" customWidth="1"/>
    <col min="52" max="52" width="9"/>
    <col min="53" max="54" width="14.1640625" customWidth="1"/>
    <col min="55" max="55" width="13.6640625" customWidth="1"/>
    <col min="56" max="56" width="12.6640625" customWidth="1"/>
    <col min="57" max="57" width="10.6640625" customWidth="1"/>
    <col min="58" max="58" width="13" customWidth="1"/>
    <col min="59" max="60" width="10.6640625" customWidth="1"/>
    <col min="61" max="62" width="11.1640625" customWidth="1"/>
    <col min="63" max="64" width="11" customWidth="1"/>
    <col min="65" max="65" width="12.6640625" customWidth="1"/>
    <col min="66" max="66" width="18.1640625" customWidth="1"/>
    <col min="67" max="67" width="22.1640625" customWidth="1"/>
    <col min="68" max="68" width="15.1640625" customWidth="1"/>
    <col min="69" max="69" width="18" customWidth="1"/>
    <col min="70" max="70" width="17.1640625" customWidth="1"/>
    <col min="71" max="71" width="21.1640625" customWidth="1"/>
    <col min="72" max="72" width="10.1640625" customWidth="1"/>
    <col min="73" max="73" width="13" customWidth="1"/>
    <col min="74" max="74" width="14" customWidth="1"/>
    <col min="75" max="75" width="13.1640625" customWidth="1"/>
    <col min="78" max="78" width="18.83203125" customWidth="1"/>
    <col min="82" max="82" width="24" customWidth="1"/>
  </cols>
  <sheetData>
    <row r="1" spans="1:82" ht="17" customHeight="1">
      <c r="A1" s="60" t="s">
        <v>181</v>
      </c>
      <c r="B1" s="60" t="s">
        <v>182</v>
      </c>
      <c r="C1" s="60" t="s">
        <v>1</v>
      </c>
      <c r="D1" s="60" t="s">
        <v>2</v>
      </c>
      <c r="E1" s="61" t="s">
        <v>183</v>
      </c>
      <c r="F1" s="62" t="s">
        <v>184</v>
      </c>
      <c r="G1" s="63" t="s">
        <v>4</v>
      </c>
      <c r="H1" s="64" t="s">
        <v>5</v>
      </c>
      <c r="I1" s="65" t="s">
        <v>11</v>
      </c>
      <c r="J1" s="65" t="s">
        <v>6</v>
      </c>
      <c r="K1" s="65" t="s">
        <v>7</v>
      </c>
      <c r="L1" s="65" t="s">
        <v>8</v>
      </c>
      <c r="M1" s="65" t="s">
        <v>9</v>
      </c>
      <c r="N1" s="65" t="s">
        <v>10</v>
      </c>
      <c r="O1" s="66" t="s">
        <v>50</v>
      </c>
      <c r="P1" s="67" t="s">
        <v>185</v>
      </c>
      <c r="Q1" s="68" t="s">
        <v>186</v>
      </c>
      <c r="R1" s="68" t="s">
        <v>187</v>
      </c>
      <c r="S1" s="68" t="s">
        <v>188</v>
      </c>
      <c r="T1" s="69" t="s">
        <v>189</v>
      </c>
      <c r="U1" s="68" t="s">
        <v>53</v>
      </c>
      <c r="V1" s="70" t="s">
        <v>55</v>
      </c>
      <c r="W1" s="71" t="s">
        <v>56</v>
      </c>
      <c r="X1" s="72" t="s">
        <v>190</v>
      </c>
      <c r="Y1" s="73" t="s">
        <v>12</v>
      </c>
      <c r="Z1" s="74" t="s">
        <v>14</v>
      </c>
      <c r="AA1" s="74" t="s">
        <v>15</v>
      </c>
      <c r="AB1" s="74" t="s">
        <v>13</v>
      </c>
      <c r="AC1" s="74" t="s">
        <v>16</v>
      </c>
      <c r="AD1" s="74" t="s">
        <v>191</v>
      </c>
      <c r="AE1" s="74" t="s">
        <v>192</v>
      </c>
      <c r="AF1" s="74" t="s">
        <v>193</v>
      </c>
      <c r="AG1" s="74" t="s">
        <v>194</v>
      </c>
      <c r="AH1" s="75" t="s">
        <v>17</v>
      </c>
      <c r="AI1" s="76" t="s">
        <v>195</v>
      </c>
      <c r="AJ1" s="76" t="s">
        <v>18</v>
      </c>
      <c r="AK1" s="76" t="s">
        <v>19</v>
      </c>
      <c r="AL1" s="76" t="s">
        <v>20</v>
      </c>
      <c r="AM1" s="76" t="s">
        <v>21</v>
      </c>
      <c r="AN1" s="76" t="s">
        <v>22</v>
      </c>
      <c r="AO1" s="76" t="s">
        <v>196</v>
      </c>
      <c r="AP1" s="76" t="s">
        <v>24</v>
      </c>
      <c r="AQ1" s="77" t="s">
        <v>197</v>
      </c>
      <c r="AR1" s="60" t="s">
        <v>198</v>
      </c>
      <c r="AS1" s="60" t="s">
        <v>199</v>
      </c>
      <c r="AT1" s="60" t="s">
        <v>200</v>
      </c>
      <c r="AU1" s="60" t="s">
        <v>27</v>
      </c>
      <c r="AV1" s="60" t="s">
        <v>28</v>
      </c>
      <c r="AW1" s="61" t="s">
        <v>29</v>
      </c>
      <c r="AX1" s="78" t="s">
        <v>39</v>
      </c>
      <c r="AY1" s="79" t="s">
        <v>40</v>
      </c>
      <c r="AZ1" s="79" t="s">
        <v>201</v>
      </c>
      <c r="BA1" s="80" t="s">
        <v>202</v>
      </c>
      <c r="BB1" s="81" t="s">
        <v>203</v>
      </c>
      <c r="BC1" s="82" t="s">
        <v>31</v>
      </c>
      <c r="BD1" s="83" t="s">
        <v>32</v>
      </c>
      <c r="BE1" s="83" t="s">
        <v>33</v>
      </c>
      <c r="BF1" s="83" t="s">
        <v>34</v>
      </c>
      <c r="BG1" s="83" t="s">
        <v>35</v>
      </c>
      <c r="BH1" s="83" t="s">
        <v>36</v>
      </c>
      <c r="BI1" s="83" t="s">
        <v>37</v>
      </c>
      <c r="BJ1" s="83" t="s">
        <v>38</v>
      </c>
      <c r="BK1" s="83" t="s">
        <v>42</v>
      </c>
      <c r="BL1" s="84" t="s">
        <v>43</v>
      </c>
      <c r="BM1" s="85" t="s">
        <v>204</v>
      </c>
      <c r="BN1" s="86" t="s">
        <v>205</v>
      </c>
      <c r="BO1" s="87" t="s">
        <v>206</v>
      </c>
      <c r="BP1" s="88" t="s">
        <v>207</v>
      </c>
      <c r="BQ1" s="89" t="s">
        <v>208</v>
      </c>
      <c r="BR1" s="89" t="s">
        <v>209</v>
      </c>
      <c r="BS1" s="89" t="s">
        <v>210</v>
      </c>
      <c r="BT1" s="87" t="s">
        <v>211</v>
      </c>
      <c r="BU1" s="90" t="s">
        <v>212</v>
      </c>
      <c r="BV1" s="91" t="s">
        <v>213</v>
      </c>
      <c r="BW1" s="92" t="s">
        <v>214</v>
      </c>
      <c r="BX1" s="28" t="s">
        <v>716</v>
      </c>
      <c r="BY1" s="93" t="s">
        <v>62</v>
      </c>
      <c r="BZ1" s="94" t="s">
        <v>63</v>
      </c>
      <c r="CA1" s="94" t="s">
        <v>64</v>
      </c>
      <c r="CB1" t="s">
        <v>65</v>
      </c>
      <c r="CC1" t="s">
        <v>215</v>
      </c>
      <c r="CD1" t="s">
        <v>649</v>
      </c>
    </row>
    <row r="2" spans="1:82" ht="15.75" customHeight="1">
      <c r="A2" s="95" t="s">
        <v>68</v>
      </c>
      <c r="B2" s="95">
        <v>1</v>
      </c>
      <c r="C2" s="95">
        <v>1070</v>
      </c>
      <c r="D2" s="95">
        <v>112</v>
      </c>
      <c r="E2" s="95" t="s">
        <v>230</v>
      </c>
      <c r="F2" s="95">
        <v>2013</v>
      </c>
      <c r="G2" s="95" t="s">
        <v>231</v>
      </c>
      <c r="H2" s="95" t="s">
        <v>232</v>
      </c>
      <c r="I2" s="95">
        <v>2</v>
      </c>
      <c r="J2" s="95" t="s">
        <v>233</v>
      </c>
      <c r="K2" s="95" t="s">
        <v>73</v>
      </c>
      <c r="L2" s="95">
        <v>14</v>
      </c>
      <c r="M2" s="95" t="s">
        <v>93</v>
      </c>
      <c r="N2" s="95" t="s">
        <v>112</v>
      </c>
      <c r="O2" s="95" t="s">
        <v>234</v>
      </c>
      <c r="P2" s="95" t="s">
        <v>235</v>
      </c>
      <c r="Q2" s="95" t="s">
        <v>236</v>
      </c>
      <c r="R2" s="95" t="s">
        <v>237</v>
      </c>
      <c r="S2" s="95">
        <v>0</v>
      </c>
      <c r="T2" s="95" t="s">
        <v>189</v>
      </c>
      <c r="U2" s="95">
        <v>0</v>
      </c>
      <c r="V2" s="95" t="s">
        <v>225</v>
      </c>
      <c r="W2" s="95" t="s">
        <v>225</v>
      </c>
      <c r="X2" s="95" t="s">
        <v>73</v>
      </c>
      <c r="Y2" s="95">
        <v>0</v>
      </c>
      <c r="Z2" s="95">
        <v>1</v>
      </c>
      <c r="AA2" s="95">
        <v>0</v>
      </c>
      <c r="AB2" s="95">
        <v>0</v>
      </c>
      <c r="AC2" s="95">
        <v>1</v>
      </c>
      <c r="AD2" s="95">
        <v>0</v>
      </c>
      <c r="AE2" s="95">
        <v>0</v>
      </c>
      <c r="AF2" s="95">
        <v>0</v>
      </c>
      <c r="AG2" s="95" t="s">
        <v>73</v>
      </c>
      <c r="AH2" s="95">
        <v>0</v>
      </c>
      <c r="AI2" s="95">
        <v>0</v>
      </c>
      <c r="AJ2" s="95">
        <v>0</v>
      </c>
      <c r="AK2" s="95">
        <v>0</v>
      </c>
      <c r="AL2" s="95">
        <v>1</v>
      </c>
      <c r="AM2" s="95">
        <v>0</v>
      </c>
      <c r="AN2" s="95">
        <v>0</v>
      </c>
      <c r="AO2" s="95">
        <v>0</v>
      </c>
      <c r="AP2" s="95">
        <v>0</v>
      </c>
      <c r="AQ2" s="95" t="s">
        <v>73</v>
      </c>
      <c r="AR2" s="95" t="s">
        <v>227</v>
      </c>
      <c r="AS2" s="95" t="s">
        <v>238</v>
      </c>
      <c r="AT2" s="95" t="s">
        <v>229</v>
      </c>
      <c r="AU2" s="96">
        <v>1.6000000000000001E-4</v>
      </c>
      <c r="AV2" s="97" t="s">
        <v>86</v>
      </c>
      <c r="AW2" s="95">
        <v>1.4545454545454547E-3</v>
      </c>
      <c r="AX2" s="95" t="s">
        <v>73</v>
      </c>
      <c r="AY2" s="95">
        <v>3</v>
      </c>
      <c r="AZ2" s="95">
        <v>0.11</v>
      </c>
      <c r="BA2" s="98">
        <f t="shared" ref="BA2:BA7" si="0">EXP(AU2)-1</f>
        <v>1.6001280068267398E-4</v>
      </c>
      <c r="BB2" s="99">
        <f t="shared" ref="BB2:BB7" si="1">EXP(AU2)/(1+EXP(AU2))</f>
        <v>0.50003999999991466</v>
      </c>
      <c r="BC2" s="95" t="s">
        <v>73</v>
      </c>
      <c r="BD2" s="95" t="s">
        <v>73</v>
      </c>
      <c r="BE2" s="95" t="s">
        <v>73</v>
      </c>
      <c r="BF2" s="95" t="s">
        <v>73</v>
      </c>
      <c r="BG2" s="95" t="s">
        <v>73</v>
      </c>
      <c r="BH2" s="95" t="s">
        <v>73</v>
      </c>
      <c r="BI2" s="95">
        <v>81095</v>
      </c>
      <c r="BJ2" s="95">
        <v>81095</v>
      </c>
      <c r="BK2" s="95" t="s">
        <v>73</v>
      </c>
      <c r="BL2" s="95" t="s">
        <v>73</v>
      </c>
      <c r="BM2" s="95" t="s">
        <v>73</v>
      </c>
      <c r="BN2" s="95">
        <v>0.55000000000000004</v>
      </c>
      <c r="BO2" s="95" t="s">
        <v>239</v>
      </c>
      <c r="BP2" s="100">
        <v>0</v>
      </c>
      <c r="BQ2" s="100">
        <v>0</v>
      </c>
      <c r="BR2" s="100">
        <v>1</v>
      </c>
      <c r="BS2" s="101">
        <v>3.8627412167859866E-4</v>
      </c>
      <c r="BT2" s="101">
        <v>3.8627414089036701E-4</v>
      </c>
      <c r="BU2" s="102">
        <v>0</v>
      </c>
      <c r="BV2" s="102">
        <v>0</v>
      </c>
      <c r="BW2" s="95">
        <v>1</v>
      </c>
      <c r="BX2" s="30">
        <f t="shared" ref="BX2:BX7" si="2">((AZ2^2)/(AZ2^2+BI2))^(1/2)</f>
        <v>3.8627412167859866E-4</v>
      </c>
      <c r="BY2" s="30">
        <f t="shared" ref="BY2:BY33" si="3">0.5*LN((1+BX2)/(1-BX2))</f>
        <v>3.8627414089036701E-4</v>
      </c>
      <c r="BZ2" s="30">
        <f t="shared" ref="BZ2:BZ33" si="4">((1-(BY2^2)^2)/(BI2-1))</f>
        <v>1.233136853527977E-5</v>
      </c>
      <c r="CA2" s="30">
        <f t="shared" ref="CA2:CA33" si="5">1/(BI2-3)</f>
        <v>1.2331672668080699E-5</v>
      </c>
      <c r="CB2" s="95" t="s">
        <v>73</v>
      </c>
      <c r="CC2">
        <f>BI2-1</f>
        <v>81094</v>
      </c>
      <c r="CD2" s="95" t="s">
        <v>73</v>
      </c>
    </row>
    <row r="3" spans="1:82" s="108" customFormat="1" ht="16">
      <c r="A3" s="95" t="s">
        <v>68</v>
      </c>
      <c r="B3" s="95">
        <v>1</v>
      </c>
      <c r="C3" s="95">
        <v>1070</v>
      </c>
      <c r="D3" s="95">
        <v>112</v>
      </c>
      <c r="E3" s="95" t="s">
        <v>230</v>
      </c>
      <c r="F3" s="95">
        <v>2013</v>
      </c>
      <c r="G3" s="95" t="s">
        <v>231</v>
      </c>
      <c r="H3" s="95" t="s">
        <v>232</v>
      </c>
      <c r="I3" s="95">
        <v>2</v>
      </c>
      <c r="J3" s="95" t="s">
        <v>233</v>
      </c>
      <c r="K3" s="95" t="s">
        <v>73</v>
      </c>
      <c r="L3" s="95">
        <v>14</v>
      </c>
      <c r="M3" s="95" t="s">
        <v>93</v>
      </c>
      <c r="N3" s="95" t="s">
        <v>112</v>
      </c>
      <c r="O3" s="95" t="s">
        <v>234</v>
      </c>
      <c r="P3" s="95" t="s">
        <v>235</v>
      </c>
      <c r="Q3" s="95" t="s">
        <v>236</v>
      </c>
      <c r="R3" s="95" t="s">
        <v>237</v>
      </c>
      <c r="S3" s="95">
        <v>0</v>
      </c>
      <c r="T3" s="95" t="s">
        <v>189</v>
      </c>
      <c r="U3" s="95">
        <v>0</v>
      </c>
      <c r="V3" s="95" t="s">
        <v>225</v>
      </c>
      <c r="W3" s="95" t="s">
        <v>225</v>
      </c>
      <c r="X3" s="95" t="s">
        <v>73</v>
      </c>
      <c r="Y3" s="95">
        <v>0</v>
      </c>
      <c r="Z3" s="95">
        <v>1</v>
      </c>
      <c r="AA3" s="95">
        <v>0</v>
      </c>
      <c r="AB3" s="95">
        <v>0</v>
      </c>
      <c r="AC3" s="95">
        <v>1</v>
      </c>
      <c r="AD3" s="95">
        <v>0</v>
      </c>
      <c r="AE3" s="95">
        <v>0</v>
      </c>
      <c r="AF3" s="95">
        <v>0</v>
      </c>
      <c r="AG3" s="95" t="s">
        <v>73</v>
      </c>
      <c r="AH3" s="95">
        <v>0</v>
      </c>
      <c r="AI3" s="95">
        <v>0</v>
      </c>
      <c r="AJ3" s="95">
        <v>0</v>
      </c>
      <c r="AK3" s="95">
        <v>0</v>
      </c>
      <c r="AL3" s="95">
        <v>1</v>
      </c>
      <c r="AM3" s="95">
        <v>0</v>
      </c>
      <c r="AN3" s="95">
        <v>0</v>
      </c>
      <c r="AO3" s="95">
        <v>0</v>
      </c>
      <c r="AP3" s="95">
        <v>0</v>
      </c>
      <c r="AQ3" s="95" t="s">
        <v>73</v>
      </c>
      <c r="AR3" s="95" t="s">
        <v>227</v>
      </c>
      <c r="AS3" s="95" t="s">
        <v>238</v>
      </c>
      <c r="AT3" s="95" t="s">
        <v>229</v>
      </c>
      <c r="AU3" s="96">
        <v>3.8500000000000001E-3</v>
      </c>
      <c r="AV3" s="97" t="s">
        <v>86</v>
      </c>
      <c r="AW3" s="95">
        <f>AU3/AZ3</f>
        <v>2.3765432098765433E-3</v>
      </c>
      <c r="AX3" s="95" t="s">
        <v>73</v>
      </c>
      <c r="AY3" s="95">
        <v>3</v>
      </c>
      <c r="AZ3" s="95">
        <v>1.62</v>
      </c>
      <c r="BA3" s="98">
        <f t="shared" si="0"/>
        <v>3.8574207702657404E-3</v>
      </c>
      <c r="BB3" s="99">
        <f t="shared" si="1"/>
        <v>0.50096249881111377</v>
      </c>
      <c r="BC3" s="95" t="s">
        <v>73</v>
      </c>
      <c r="BD3" s="95" t="s">
        <v>73</v>
      </c>
      <c r="BE3" s="95" t="s">
        <v>73</v>
      </c>
      <c r="BF3" s="95" t="s">
        <v>73</v>
      </c>
      <c r="BG3" s="95" t="s">
        <v>73</v>
      </c>
      <c r="BH3" s="95" t="s">
        <v>73</v>
      </c>
      <c r="BI3" s="95">
        <v>81095</v>
      </c>
      <c r="BJ3" s="95">
        <v>81095</v>
      </c>
      <c r="BK3" s="95" t="s">
        <v>73</v>
      </c>
      <c r="BL3" s="95" t="s">
        <v>73</v>
      </c>
      <c r="BM3" s="95" t="s">
        <v>73</v>
      </c>
      <c r="BN3" s="95">
        <v>0.55000000000000004</v>
      </c>
      <c r="BO3" s="95" t="s">
        <v>239</v>
      </c>
      <c r="BP3" s="100" t="s">
        <v>73</v>
      </c>
      <c r="BQ3" s="100" t="s">
        <v>73</v>
      </c>
      <c r="BR3" s="100" t="s">
        <v>73</v>
      </c>
      <c r="BS3" s="100" t="s">
        <v>73</v>
      </c>
      <c r="BT3" s="100" t="s">
        <v>73</v>
      </c>
      <c r="BU3" s="95">
        <v>0</v>
      </c>
      <c r="BV3" s="95">
        <v>0</v>
      </c>
      <c r="BW3" s="95">
        <v>1</v>
      </c>
      <c r="BX3" s="30">
        <f t="shared" si="2"/>
        <v>5.6886727140571178E-3</v>
      </c>
      <c r="BY3" s="30">
        <f t="shared" si="3"/>
        <v>5.688734078955906E-3</v>
      </c>
      <c r="BZ3" s="30">
        <f t="shared" si="4"/>
        <v>1.2331368522365657E-5</v>
      </c>
      <c r="CA3" s="30">
        <f t="shared" si="5"/>
        <v>1.2331672668080699E-5</v>
      </c>
      <c r="CB3" s="95" t="s">
        <v>73</v>
      </c>
      <c r="CC3">
        <f>BI3-1</f>
        <v>81094</v>
      </c>
      <c r="CD3" s="95" t="s">
        <v>73</v>
      </c>
    </row>
    <row r="4" spans="1:82" s="108" customFormat="1" ht="16">
      <c r="A4" s="11" t="s">
        <v>216</v>
      </c>
      <c r="B4" s="11">
        <v>2</v>
      </c>
      <c r="C4" s="11">
        <v>1003</v>
      </c>
      <c r="D4" s="11">
        <v>101</v>
      </c>
      <c r="E4" s="11" t="s">
        <v>217</v>
      </c>
      <c r="F4" s="11">
        <v>2016</v>
      </c>
      <c r="G4" s="110" t="s">
        <v>218</v>
      </c>
      <c r="H4" s="11" t="s">
        <v>219</v>
      </c>
      <c r="I4" s="11">
        <v>2</v>
      </c>
      <c r="J4" s="11" t="s">
        <v>119</v>
      </c>
      <c r="K4" s="11" t="s">
        <v>73</v>
      </c>
      <c r="L4" s="11">
        <v>13</v>
      </c>
      <c r="M4" s="11" t="s">
        <v>220</v>
      </c>
      <c r="N4" s="11" t="s">
        <v>76</v>
      </c>
      <c r="O4" s="11" t="s">
        <v>81</v>
      </c>
      <c r="P4" s="11" t="s">
        <v>221</v>
      </c>
      <c r="Q4" s="11" t="s">
        <v>222</v>
      </c>
      <c r="R4" s="11" t="s">
        <v>223</v>
      </c>
      <c r="S4" s="11">
        <v>0</v>
      </c>
      <c r="T4" s="11" t="s">
        <v>224</v>
      </c>
      <c r="U4" s="11">
        <v>1</v>
      </c>
      <c r="V4" s="11" t="s">
        <v>225</v>
      </c>
      <c r="W4" s="11" t="s">
        <v>225</v>
      </c>
      <c r="X4" s="11" t="s">
        <v>73</v>
      </c>
      <c r="Y4" s="11">
        <v>0</v>
      </c>
      <c r="Z4" s="11">
        <v>1</v>
      </c>
      <c r="AA4" s="11">
        <v>0</v>
      </c>
      <c r="AB4" s="11">
        <v>0</v>
      </c>
      <c r="AC4" s="11">
        <v>0</v>
      </c>
      <c r="AD4" s="11">
        <v>0</v>
      </c>
      <c r="AE4" s="11">
        <v>0</v>
      </c>
      <c r="AF4" s="11">
        <v>0</v>
      </c>
      <c r="AG4" s="11" t="s">
        <v>226</v>
      </c>
      <c r="AH4" s="11">
        <v>0</v>
      </c>
      <c r="AI4" s="11">
        <v>0</v>
      </c>
      <c r="AJ4" s="11">
        <v>0</v>
      </c>
      <c r="AK4" s="11">
        <v>0</v>
      </c>
      <c r="AL4" s="11">
        <v>0</v>
      </c>
      <c r="AM4" s="11">
        <v>0</v>
      </c>
      <c r="AN4" s="11">
        <v>1</v>
      </c>
      <c r="AO4" s="11">
        <v>0</v>
      </c>
      <c r="AP4" s="11">
        <v>0</v>
      </c>
      <c r="AQ4" s="11" t="s">
        <v>73</v>
      </c>
      <c r="AR4" s="11" t="s">
        <v>227</v>
      </c>
      <c r="AS4" s="11" t="s">
        <v>228</v>
      </c>
      <c r="AT4" s="11" t="s">
        <v>229</v>
      </c>
      <c r="AU4" s="39">
        <v>0</v>
      </c>
      <c r="AV4" s="11" t="s">
        <v>80</v>
      </c>
      <c r="AW4" s="11">
        <v>2E-3</v>
      </c>
      <c r="AX4" s="11">
        <v>0.1</v>
      </c>
      <c r="AY4" s="11">
        <v>2</v>
      </c>
      <c r="AZ4" s="18">
        <f t="shared" ref="AZ4:AZ11" si="6">AU4/AW4</f>
        <v>0</v>
      </c>
      <c r="BA4" s="111">
        <f t="shared" si="0"/>
        <v>0</v>
      </c>
      <c r="BB4" s="112">
        <f t="shared" si="1"/>
        <v>0.5</v>
      </c>
      <c r="BC4" s="11" t="s">
        <v>73</v>
      </c>
      <c r="BD4" s="11" t="s">
        <v>73</v>
      </c>
      <c r="BE4" s="11" t="s">
        <v>73</v>
      </c>
      <c r="BF4" s="11" t="s">
        <v>73</v>
      </c>
      <c r="BG4" s="11">
        <f>12629/5</f>
        <v>2525.8000000000002</v>
      </c>
      <c r="BH4" s="11" t="s">
        <v>73</v>
      </c>
      <c r="BI4" s="113">
        <v>23347</v>
      </c>
      <c r="BJ4" s="113">
        <v>23347</v>
      </c>
      <c r="BK4" s="11" t="s">
        <v>73</v>
      </c>
      <c r="BL4" s="11" t="s">
        <v>73</v>
      </c>
      <c r="BM4" s="11" t="s">
        <v>73</v>
      </c>
      <c r="BN4" s="11" t="s">
        <v>73</v>
      </c>
      <c r="BO4" s="11" t="s">
        <v>73</v>
      </c>
      <c r="BP4" s="11" t="s">
        <v>73</v>
      </c>
      <c r="BQ4" s="11" t="s">
        <v>73</v>
      </c>
      <c r="BR4" s="11" t="s">
        <v>73</v>
      </c>
      <c r="BS4" s="11" t="s">
        <v>73</v>
      </c>
      <c r="BT4" s="11" t="s">
        <v>73</v>
      </c>
      <c r="BU4" s="11">
        <v>0</v>
      </c>
      <c r="BV4" s="11">
        <v>1</v>
      </c>
      <c r="BW4" s="11">
        <v>1</v>
      </c>
      <c r="BX4" s="30">
        <f t="shared" si="2"/>
        <v>0</v>
      </c>
      <c r="BY4" s="30">
        <f t="shared" si="3"/>
        <v>0</v>
      </c>
      <c r="BZ4" s="30">
        <f t="shared" si="4"/>
        <v>4.2833890173905597E-5</v>
      </c>
      <c r="CA4" s="30">
        <f t="shared" si="5"/>
        <v>4.2837559972583965E-5</v>
      </c>
      <c r="CB4" s="95" t="s">
        <v>73</v>
      </c>
      <c r="CC4">
        <f t="shared" ref="CC4:CC17" si="7">BI4-2</f>
        <v>23345</v>
      </c>
      <c r="CD4" s="95" t="s">
        <v>73</v>
      </c>
    </row>
    <row r="5" spans="1:82" s="108" customFormat="1" ht="16">
      <c r="A5" s="11" t="s">
        <v>216</v>
      </c>
      <c r="B5" s="11">
        <v>2</v>
      </c>
      <c r="C5" s="11">
        <v>1002</v>
      </c>
      <c r="D5" s="11">
        <v>101</v>
      </c>
      <c r="E5" s="11" t="s">
        <v>217</v>
      </c>
      <c r="F5" s="11">
        <v>2016</v>
      </c>
      <c r="G5" s="110" t="s">
        <v>218</v>
      </c>
      <c r="H5" s="11" t="s">
        <v>219</v>
      </c>
      <c r="I5" s="11">
        <v>2</v>
      </c>
      <c r="J5" s="11" t="s">
        <v>119</v>
      </c>
      <c r="K5" s="11" t="s">
        <v>73</v>
      </c>
      <c r="L5" s="11">
        <v>13</v>
      </c>
      <c r="M5" s="11" t="s">
        <v>220</v>
      </c>
      <c r="N5" s="11" t="s">
        <v>76</v>
      </c>
      <c r="O5" s="11" t="s">
        <v>81</v>
      </c>
      <c r="P5" s="11" t="s">
        <v>221</v>
      </c>
      <c r="Q5" s="11" t="s">
        <v>222</v>
      </c>
      <c r="R5" s="11" t="s">
        <v>223</v>
      </c>
      <c r="S5" s="11">
        <v>0</v>
      </c>
      <c r="T5" s="11" t="s">
        <v>224</v>
      </c>
      <c r="U5" s="11">
        <v>1</v>
      </c>
      <c r="V5" s="11" t="s">
        <v>225</v>
      </c>
      <c r="W5" s="11" t="s">
        <v>225</v>
      </c>
      <c r="X5" s="11" t="s">
        <v>73</v>
      </c>
      <c r="Y5" s="11">
        <v>0</v>
      </c>
      <c r="Z5" s="11">
        <v>0</v>
      </c>
      <c r="AA5" s="11">
        <v>0</v>
      </c>
      <c r="AB5" s="11">
        <v>1</v>
      </c>
      <c r="AC5" s="11">
        <v>0</v>
      </c>
      <c r="AD5" s="11">
        <v>0</v>
      </c>
      <c r="AE5" s="11">
        <v>0</v>
      </c>
      <c r="AF5" s="11">
        <v>0</v>
      </c>
      <c r="AG5" s="11" t="s">
        <v>226</v>
      </c>
      <c r="AH5" s="11">
        <v>0</v>
      </c>
      <c r="AI5" s="11">
        <v>0</v>
      </c>
      <c r="AJ5" s="11">
        <v>0</v>
      </c>
      <c r="AK5" s="11">
        <v>0</v>
      </c>
      <c r="AL5" s="11">
        <v>0</v>
      </c>
      <c r="AM5" s="11">
        <v>0</v>
      </c>
      <c r="AN5" s="11">
        <v>1</v>
      </c>
      <c r="AO5" s="11">
        <v>0</v>
      </c>
      <c r="AP5" s="11">
        <v>0</v>
      </c>
      <c r="AQ5" s="11" t="s">
        <v>73</v>
      </c>
      <c r="AR5" s="11" t="s">
        <v>227</v>
      </c>
      <c r="AS5" s="11" t="s">
        <v>228</v>
      </c>
      <c r="AT5" s="11" t="s">
        <v>229</v>
      </c>
      <c r="AU5" s="39">
        <v>1E-3</v>
      </c>
      <c r="AV5" s="11" t="s">
        <v>80</v>
      </c>
      <c r="AW5" s="11">
        <v>1E-3</v>
      </c>
      <c r="AX5" s="11">
        <v>0.1</v>
      </c>
      <c r="AY5" s="11">
        <v>2</v>
      </c>
      <c r="AZ5" s="18">
        <f t="shared" si="6"/>
        <v>1</v>
      </c>
      <c r="BA5" s="111">
        <f t="shared" si="0"/>
        <v>1.0005001667083846E-3</v>
      </c>
      <c r="BB5" s="112">
        <f t="shared" si="1"/>
        <v>0.50024999997916664</v>
      </c>
      <c r="BC5" s="11" t="s">
        <v>73</v>
      </c>
      <c r="BD5" s="11" t="s">
        <v>73</v>
      </c>
      <c r="BE5" s="11" t="s">
        <v>73</v>
      </c>
      <c r="BF5" s="11" t="s">
        <v>73</v>
      </c>
      <c r="BG5" s="11">
        <f>12629/5</f>
        <v>2525.8000000000002</v>
      </c>
      <c r="BH5" s="11" t="s">
        <v>73</v>
      </c>
      <c r="BI5" s="113">
        <v>23347</v>
      </c>
      <c r="BJ5" s="113">
        <v>23347</v>
      </c>
      <c r="BK5" s="11" t="s">
        <v>73</v>
      </c>
      <c r="BL5" s="11" t="s">
        <v>73</v>
      </c>
      <c r="BM5" s="11">
        <v>25</v>
      </c>
      <c r="BN5" s="11" t="s">
        <v>73</v>
      </c>
      <c r="BO5" s="11" t="s">
        <v>240</v>
      </c>
      <c r="BP5" s="11" t="s">
        <v>73</v>
      </c>
      <c r="BQ5" s="11" t="s">
        <v>73</v>
      </c>
      <c r="BR5" s="11" t="s">
        <v>73</v>
      </c>
      <c r="BS5" s="11" t="s">
        <v>73</v>
      </c>
      <c r="BT5" s="11" t="s">
        <v>73</v>
      </c>
      <c r="BU5" s="11">
        <v>0</v>
      </c>
      <c r="BV5" s="11">
        <v>1</v>
      </c>
      <c r="BW5" s="11">
        <v>1</v>
      </c>
      <c r="BX5" s="30">
        <f t="shared" si="2"/>
        <v>6.5444801935631517E-3</v>
      </c>
      <c r="BY5" s="30">
        <f t="shared" si="3"/>
        <v>6.5445736298086485E-3</v>
      </c>
      <c r="BZ5" s="30">
        <f t="shared" si="4"/>
        <v>4.2833890095325423E-5</v>
      </c>
      <c r="CA5" s="30">
        <f t="shared" si="5"/>
        <v>4.2837559972583965E-5</v>
      </c>
      <c r="CB5" s="95" t="s">
        <v>73</v>
      </c>
      <c r="CC5">
        <f t="shared" si="7"/>
        <v>23345</v>
      </c>
      <c r="CD5" s="95" t="s">
        <v>73</v>
      </c>
    </row>
    <row r="6" spans="1:82" s="108" customFormat="1" ht="16">
      <c r="A6" s="115" t="s">
        <v>216</v>
      </c>
      <c r="B6" s="115">
        <v>2</v>
      </c>
      <c r="C6" s="115">
        <v>1001</v>
      </c>
      <c r="D6" s="115">
        <v>101</v>
      </c>
      <c r="E6" s="115" t="s">
        <v>217</v>
      </c>
      <c r="F6" s="115">
        <v>2016</v>
      </c>
      <c r="G6" t="s">
        <v>218</v>
      </c>
      <c r="H6" s="115" t="s">
        <v>219</v>
      </c>
      <c r="I6" s="115">
        <v>2</v>
      </c>
      <c r="J6" s="115" t="s">
        <v>119</v>
      </c>
      <c r="K6" s="115" t="s">
        <v>73</v>
      </c>
      <c r="L6" s="115">
        <v>13</v>
      </c>
      <c r="M6" s="115" t="s">
        <v>220</v>
      </c>
      <c r="N6" s="115" t="s">
        <v>76</v>
      </c>
      <c r="O6" s="115" t="s">
        <v>81</v>
      </c>
      <c r="P6" s="115" t="s">
        <v>221</v>
      </c>
      <c r="Q6" s="115" t="s">
        <v>222</v>
      </c>
      <c r="R6" s="115" t="s">
        <v>223</v>
      </c>
      <c r="S6" s="115">
        <v>0</v>
      </c>
      <c r="T6" s="115" t="s">
        <v>224</v>
      </c>
      <c r="U6" s="115">
        <v>1</v>
      </c>
      <c r="V6" s="115" t="s">
        <v>225</v>
      </c>
      <c r="W6" s="115" t="s">
        <v>225</v>
      </c>
      <c r="X6" s="115" t="s">
        <v>73</v>
      </c>
      <c r="Y6" s="115">
        <v>0</v>
      </c>
      <c r="Z6" s="115">
        <v>0</v>
      </c>
      <c r="AA6" s="115">
        <v>0</v>
      </c>
      <c r="AB6" s="115">
        <v>1</v>
      </c>
      <c r="AC6" s="115">
        <v>0</v>
      </c>
      <c r="AD6" s="115">
        <v>0</v>
      </c>
      <c r="AE6" s="115">
        <v>0</v>
      </c>
      <c r="AF6" s="115">
        <v>0</v>
      </c>
      <c r="AG6" s="115" t="s">
        <v>226</v>
      </c>
      <c r="AH6" s="115">
        <v>0</v>
      </c>
      <c r="AI6" s="115">
        <v>0</v>
      </c>
      <c r="AJ6" s="115">
        <v>0</v>
      </c>
      <c r="AK6" s="115">
        <v>0</v>
      </c>
      <c r="AL6" s="115">
        <v>0</v>
      </c>
      <c r="AM6" s="115">
        <v>0</v>
      </c>
      <c r="AN6" s="115">
        <v>1</v>
      </c>
      <c r="AO6" s="115">
        <v>0</v>
      </c>
      <c r="AP6" s="115">
        <v>0</v>
      </c>
      <c r="AQ6" s="115" t="s">
        <v>73</v>
      </c>
      <c r="AR6" s="115" t="s">
        <v>227</v>
      </c>
      <c r="AS6" s="115" t="s">
        <v>228</v>
      </c>
      <c r="AT6" s="115" t="s">
        <v>229</v>
      </c>
      <c r="AU6" s="59">
        <v>6.0000000000000001E-3</v>
      </c>
      <c r="AV6" s="115" t="s">
        <v>80</v>
      </c>
      <c r="AW6" s="115">
        <v>3.0000000000000001E-3</v>
      </c>
      <c r="AX6" s="115">
        <v>0.05</v>
      </c>
      <c r="AY6" s="115">
        <v>1</v>
      </c>
      <c r="AZ6" s="10">
        <f t="shared" si="6"/>
        <v>2</v>
      </c>
      <c r="BA6" s="116">
        <f t="shared" si="0"/>
        <v>6.0180360540649236E-3</v>
      </c>
      <c r="BB6" s="112">
        <f t="shared" si="1"/>
        <v>0.50149999550001623</v>
      </c>
      <c r="BC6" s="115" t="s">
        <v>73</v>
      </c>
      <c r="BD6" s="115" t="s">
        <v>73</v>
      </c>
      <c r="BE6" s="115" t="s">
        <v>73</v>
      </c>
      <c r="BF6" s="115" t="s">
        <v>73</v>
      </c>
      <c r="BG6" s="115">
        <f>12629/5</f>
        <v>2525.8000000000002</v>
      </c>
      <c r="BH6" s="115" t="s">
        <v>73</v>
      </c>
      <c r="BI6" s="115">
        <v>23347</v>
      </c>
      <c r="BJ6" s="115">
        <v>23347</v>
      </c>
      <c r="BK6" s="115" t="s">
        <v>73</v>
      </c>
      <c r="BL6" s="115" t="s">
        <v>73</v>
      </c>
      <c r="BM6" s="115">
        <v>100</v>
      </c>
      <c r="BN6" s="115" t="s">
        <v>73</v>
      </c>
      <c r="BO6" s="115" t="s">
        <v>240</v>
      </c>
      <c r="BP6" s="115" t="s">
        <v>73</v>
      </c>
      <c r="BQ6" s="115" t="s">
        <v>73</v>
      </c>
      <c r="BR6" s="115" t="s">
        <v>73</v>
      </c>
      <c r="BS6" s="115" t="s">
        <v>73</v>
      </c>
      <c r="BT6" s="115" t="s">
        <v>73</v>
      </c>
      <c r="BU6" s="115">
        <v>0</v>
      </c>
      <c r="BV6" s="115">
        <v>1</v>
      </c>
      <c r="BW6" s="115">
        <v>1</v>
      </c>
      <c r="BX6" s="30">
        <f t="shared" si="2"/>
        <v>1.308811956355478E-2</v>
      </c>
      <c r="BY6" s="30">
        <f t="shared" si="3"/>
        <v>1.3088866967087377E-2</v>
      </c>
      <c r="BZ6" s="30">
        <f t="shared" si="4"/>
        <v>4.2833888916730603E-5</v>
      </c>
      <c r="CA6" s="30">
        <f t="shared" si="5"/>
        <v>4.2837559972583965E-5</v>
      </c>
      <c r="CB6" s="95" t="s">
        <v>73</v>
      </c>
      <c r="CC6">
        <f t="shared" si="7"/>
        <v>23345</v>
      </c>
      <c r="CD6" s="95" t="s">
        <v>73</v>
      </c>
    </row>
    <row r="7" spans="1:82" s="108" customFormat="1" ht="16">
      <c r="A7" s="105" t="s">
        <v>68</v>
      </c>
      <c r="B7" s="105">
        <v>3</v>
      </c>
      <c r="C7" s="105">
        <v>1087</v>
      </c>
      <c r="D7" s="108">
        <v>115</v>
      </c>
      <c r="E7" s="108" t="s">
        <v>255</v>
      </c>
      <c r="F7" s="105">
        <v>2016</v>
      </c>
      <c r="G7" s="108" t="s">
        <v>256</v>
      </c>
      <c r="H7" s="117" t="s">
        <v>257</v>
      </c>
      <c r="I7" s="108">
        <v>2</v>
      </c>
      <c r="J7" s="108" t="s">
        <v>258</v>
      </c>
      <c r="K7" s="118" t="s">
        <v>73</v>
      </c>
      <c r="L7" s="108">
        <v>2532</v>
      </c>
      <c r="M7" s="108" t="s">
        <v>93</v>
      </c>
      <c r="N7" s="108" t="s">
        <v>259</v>
      </c>
      <c r="O7" s="108" t="s">
        <v>81</v>
      </c>
      <c r="P7" s="118" t="s">
        <v>221</v>
      </c>
      <c r="Q7" s="108" t="s">
        <v>260</v>
      </c>
      <c r="R7" s="108" t="s">
        <v>243</v>
      </c>
      <c r="S7" s="108">
        <v>1</v>
      </c>
      <c r="T7" s="108" t="s">
        <v>224</v>
      </c>
      <c r="U7" s="108">
        <v>1</v>
      </c>
      <c r="V7" s="118" t="s">
        <v>225</v>
      </c>
      <c r="W7" s="118" t="s">
        <v>225</v>
      </c>
      <c r="X7" s="118" t="s">
        <v>73</v>
      </c>
      <c r="Y7" s="108">
        <v>0</v>
      </c>
      <c r="Z7" s="108">
        <v>1</v>
      </c>
      <c r="AA7" s="108">
        <v>0</v>
      </c>
      <c r="AB7" s="108">
        <v>0</v>
      </c>
      <c r="AC7" s="108">
        <v>0</v>
      </c>
      <c r="AD7" s="108">
        <v>0</v>
      </c>
      <c r="AE7" s="108">
        <v>0</v>
      </c>
      <c r="AF7" s="108">
        <v>0</v>
      </c>
      <c r="AG7" s="108" t="s">
        <v>73</v>
      </c>
      <c r="AH7" s="108">
        <v>0</v>
      </c>
      <c r="AI7" s="108">
        <v>0</v>
      </c>
      <c r="AJ7" s="108">
        <v>0</v>
      </c>
      <c r="AK7" s="108">
        <v>0</v>
      </c>
      <c r="AL7" s="108">
        <v>0</v>
      </c>
      <c r="AM7" s="108">
        <v>1</v>
      </c>
      <c r="AN7" s="108">
        <v>0</v>
      </c>
      <c r="AO7" s="108">
        <v>0</v>
      </c>
      <c r="AP7" s="108">
        <v>0</v>
      </c>
      <c r="AQ7" s="108" t="s">
        <v>73</v>
      </c>
      <c r="AR7" s="108" t="s">
        <v>227</v>
      </c>
      <c r="AS7" s="108" t="s">
        <v>261</v>
      </c>
      <c r="AT7" s="108" t="s">
        <v>229</v>
      </c>
      <c r="AU7" s="119">
        <v>4.0000000000000001E-3</v>
      </c>
      <c r="AV7" s="120" t="s">
        <v>80</v>
      </c>
      <c r="AW7" s="108">
        <v>3.3000000000000002E-2</v>
      </c>
      <c r="AX7" s="108">
        <v>0.1</v>
      </c>
      <c r="AY7" s="108">
        <v>2</v>
      </c>
      <c r="AZ7" s="108">
        <f t="shared" si="6"/>
        <v>0.12121212121212122</v>
      </c>
      <c r="BA7" s="121">
        <f t="shared" si="0"/>
        <v>4.0080106773419111E-3</v>
      </c>
      <c r="BB7" s="112">
        <f t="shared" si="1"/>
        <v>0.50099999866666878</v>
      </c>
      <c r="BC7" s="118" t="s">
        <v>73</v>
      </c>
      <c r="BD7" s="118" t="s">
        <v>73</v>
      </c>
      <c r="BE7" s="118" t="s">
        <v>73</v>
      </c>
      <c r="BF7" s="118" t="s">
        <v>73</v>
      </c>
      <c r="BG7" s="118" t="s">
        <v>73</v>
      </c>
      <c r="BH7" s="118" t="s">
        <v>73</v>
      </c>
      <c r="BI7" s="118">
        <v>1087</v>
      </c>
      <c r="BJ7" s="118">
        <v>1087</v>
      </c>
      <c r="BK7" s="118" t="s">
        <v>73</v>
      </c>
      <c r="BL7" s="118" t="s">
        <v>73</v>
      </c>
      <c r="BM7" s="108" t="s">
        <v>73</v>
      </c>
      <c r="BN7" s="108" t="s">
        <v>73</v>
      </c>
      <c r="BO7" s="118" t="s">
        <v>73</v>
      </c>
      <c r="BP7" s="118" t="s">
        <v>73</v>
      </c>
      <c r="BQ7" s="118" t="s">
        <v>73</v>
      </c>
      <c r="BR7" s="118" t="s">
        <v>73</v>
      </c>
      <c r="BS7" s="118" t="s">
        <v>73</v>
      </c>
      <c r="BT7" s="118" t="s">
        <v>73</v>
      </c>
      <c r="BU7" s="108">
        <v>0</v>
      </c>
      <c r="BV7" s="108">
        <v>0</v>
      </c>
      <c r="BW7" s="108">
        <v>1</v>
      </c>
      <c r="BX7" s="123">
        <f t="shared" si="2"/>
        <v>3.6764472949663419E-3</v>
      </c>
      <c r="BY7" s="123">
        <f t="shared" si="3"/>
        <v>3.6764638590456372E-3</v>
      </c>
      <c r="BZ7" s="123">
        <f t="shared" si="4"/>
        <v>9.2081031290728113E-4</v>
      </c>
      <c r="CA7" s="123">
        <f t="shared" si="5"/>
        <v>9.225092250922509E-4</v>
      </c>
      <c r="CB7" s="95" t="s">
        <v>73</v>
      </c>
      <c r="CC7">
        <f t="shared" si="7"/>
        <v>1085</v>
      </c>
      <c r="CD7" s="95" t="s">
        <v>73</v>
      </c>
    </row>
    <row r="8" spans="1:82" ht="16">
      <c r="A8" s="124" t="s">
        <v>68</v>
      </c>
      <c r="B8" s="124">
        <v>3</v>
      </c>
      <c r="C8" s="124">
        <v>1086</v>
      </c>
      <c r="D8" s="125">
        <v>115</v>
      </c>
      <c r="E8" s="125" t="s">
        <v>255</v>
      </c>
      <c r="F8" s="124">
        <v>2016</v>
      </c>
      <c r="G8" s="125" t="s">
        <v>256</v>
      </c>
      <c r="H8" s="126" t="s">
        <v>257</v>
      </c>
      <c r="I8" s="125">
        <v>2</v>
      </c>
      <c r="J8" s="125" t="s">
        <v>258</v>
      </c>
      <c r="K8" s="126" t="s">
        <v>73</v>
      </c>
      <c r="L8" s="125">
        <v>2531</v>
      </c>
      <c r="M8" s="125" t="s">
        <v>107</v>
      </c>
      <c r="N8" s="125" t="s">
        <v>259</v>
      </c>
      <c r="O8" s="125" t="s">
        <v>81</v>
      </c>
      <c r="P8" s="126" t="s">
        <v>221</v>
      </c>
      <c r="Q8" s="125" t="s">
        <v>260</v>
      </c>
      <c r="R8" s="125" t="s">
        <v>243</v>
      </c>
      <c r="S8" s="125">
        <v>1</v>
      </c>
      <c r="T8" s="125" t="s">
        <v>224</v>
      </c>
      <c r="U8" s="125">
        <v>1</v>
      </c>
      <c r="V8" s="126" t="s">
        <v>225</v>
      </c>
      <c r="W8" s="126" t="s">
        <v>225</v>
      </c>
      <c r="X8" s="126" t="s">
        <v>73</v>
      </c>
      <c r="Y8" s="125">
        <v>0</v>
      </c>
      <c r="Z8" s="125">
        <v>1</v>
      </c>
      <c r="AA8" s="125">
        <v>0</v>
      </c>
      <c r="AB8" s="125">
        <v>0</v>
      </c>
      <c r="AC8" s="125">
        <v>0</v>
      </c>
      <c r="AD8" s="125">
        <v>0</v>
      </c>
      <c r="AE8" s="125">
        <v>0</v>
      </c>
      <c r="AF8" s="125">
        <v>0</v>
      </c>
      <c r="AG8" s="125" t="s">
        <v>73</v>
      </c>
      <c r="AH8" s="125">
        <v>0</v>
      </c>
      <c r="AI8" s="125">
        <v>0</v>
      </c>
      <c r="AJ8" s="125">
        <v>0</v>
      </c>
      <c r="AK8" s="125">
        <v>0</v>
      </c>
      <c r="AL8" s="125">
        <v>0</v>
      </c>
      <c r="AM8" s="125">
        <v>1</v>
      </c>
      <c r="AN8" s="125">
        <v>0</v>
      </c>
      <c r="AO8" s="125">
        <v>0</v>
      </c>
      <c r="AP8" s="125">
        <v>0</v>
      </c>
      <c r="AQ8" s="125" t="s">
        <v>73</v>
      </c>
      <c r="AR8" s="125" t="s">
        <v>227</v>
      </c>
      <c r="AS8" s="125" t="s">
        <v>261</v>
      </c>
      <c r="AT8" s="125" t="s">
        <v>73</v>
      </c>
      <c r="AU8" s="127">
        <v>8.0000000000000002E-3</v>
      </c>
      <c r="AV8" s="128" t="s">
        <v>86</v>
      </c>
      <c r="AW8" s="125">
        <v>2.7E-2</v>
      </c>
      <c r="AX8" s="125">
        <v>0.1</v>
      </c>
      <c r="AY8" s="125">
        <v>2</v>
      </c>
      <c r="AZ8" s="125">
        <f t="shared" si="6"/>
        <v>0.29629629629629628</v>
      </c>
      <c r="BA8" s="129" t="s">
        <v>73</v>
      </c>
      <c r="BB8" s="129"/>
      <c r="BC8" s="126" t="s">
        <v>73</v>
      </c>
      <c r="BD8" s="126">
        <f>BI8-BG8</f>
        <v>294</v>
      </c>
      <c r="BE8" s="114" t="s">
        <v>73</v>
      </c>
      <c r="BF8" s="126" t="s">
        <v>73</v>
      </c>
      <c r="BG8" s="126">
        <v>793</v>
      </c>
      <c r="BH8" s="126" t="s">
        <v>73</v>
      </c>
      <c r="BI8" s="126">
        <v>1087</v>
      </c>
      <c r="BJ8" s="126">
        <v>1087</v>
      </c>
      <c r="BK8" s="126">
        <v>8.0000000000000002E-3</v>
      </c>
      <c r="BL8" s="126" t="s">
        <v>73</v>
      </c>
      <c r="BM8" s="125" t="s">
        <v>73</v>
      </c>
      <c r="BN8" s="125" t="s">
        <v>73</v>
      </c>
      <c r="BO8" s="126" t="s">
        <v>73</v>
      </c>
      <c r="BP8" s="126" t="s">
        <v>73</v>
      </c>
      <c r="BQ8" s="126" t="s">
        <v>73</v>
      </c>
      <c r="BR8" s="126" t="s">
        <v>73</v>
      </c>
      <c r="BS8" s="126" t="s">
        <v>73</v>
      </c>
      <c r="BT8" s="126" t="s">
        <v>73</v>
      </c>
      <c r="BU8" s="125">
        <v>0</v>
      </c>
      <c r="BV8" s="125">
        <v>0</v>
      </c>
      <c r="BW8" s="125">
        <v>1</v>
      </c>
      <c r="BX8" s="130">
        <f>CB8/((CB8^2+4)^(1/2))</f>
        <v>0.14654866108946232</v>
      </c>
      <c r="BY8" s="30">
        <f t="shared" si="3"/>
        <v>0.14761150876627599</v>
      </c>
      <c r="BZ8" s="30">
        <f t="shared" si="4"/>
        <v>9.2037314237067909E-4</v>
      </c>
      <c r="CA8" s="30">
        <f t="shared" si="5"/>
        <v>9.225092250922509E-4</v>
      </c>
      <c r="CB8" s="114">
        <f>BK8/AW8</f>
        <v>0.29629629629629628</v>
      </c>
      <c r="CC8">
        <f t="shared" si="7"/>
        <v>1085</v>
      </c>
      <c r="CD8" s="95" t="s">
        <v>73</v>
      </c>
    </row>
    <row r="9" spans="1:82" ht="16">
      <c r="A9" s="124" t="s">
        <v>68</v>
      </c>
      <c r="B9" s="124">
        <v>3</v>
      </c>
      <c r="C9" s="124">
        <v>1085</v>
      </c>
      <c r="D9" s="125">
        <v>115</v>
      </c>
      <c r="E9" s="125" t="s">
        <v>255</v>
      </c>
      <c r="F9" s="124">
        <v>2016</v>
      </c>
      <c r="G9" s="125" t="s">
        <v>256</v>
      </c>
      <c r="H9" s="126" t="s">
        <v>257</v>
      </c>
      <c r="I9" s="125">
        <v>2</v>
      </c>
      <c r="J9" s="125" t="s">
        <v>258</v>
      </c>
      <c r="K9" s="126" t="s">
        <v>73</v>
      </c>
      <c r="L9" s="125">
        <v>2531</v>
      </c>
      <c r="M9" s="125" t="s">
        <v>107</v>
      </c>
      <c r="N9" s="125" t="s">
        <v>259</v>
      </c>
      <c r="O9" s="125" t="s">
        <v>81</v>
      </c>
      <c r="P9" s="126" t="s">
        <v>221</v>
      </c>
      <c r="Q9" s="125" t="s">
        <v>260</v>
      </c>
      <c r="R9" s="125" t="s">
        <v>243</v>
      </c>
      <c r="S9" s="125">
        <v>1</v>
      </c>
      <c r="T9" s="125" t="s">
        <v>224</v>
      </c>
      <c r="U9" s="125">
        <v>1</v>
      </c>
      <c r="V9" s="126" t="s">
        <v>225</v>
      </c>
      <c r="W9" s="126" t="s">
        <v>225</v>
      </c>
      <c r="X9" s="126" t="s">
        <v>73</v>
      </c>
      <c r="Y9" s="125">
        <v>0</v>
      </c>
      <c r="Z9" s="125">
        <v>1</v>
      </c>
      <c r="AA9" s="125">
        <v>0</v>
      </c>
      <c r="AB9" s="125">
        <v>0</v>
      </c>
      <c r="AC9" s="125">
        <v>0</v>
      </c>
      <c r="AD9" s="125">
        <v>0</v>
      </c>
      <c r="AE9" s="125">
        <v>0</v>
      </c>
      <c r="AF9" s="125">
        <v>0</v>
      </c>
      <c r="AG9" s="125" t="s">
        <v>73</v>
      </c>
      <c r="AH9" s="125">
        <v>0</v>
      </c>
      <c r="AI9" s="125">
        <v>0</v>
      </c>
      <c r="AJ9" s="125">
        <v>0</v>
      </c>
      <c r="AK9" s="125">
        <v>0</v>
      </c>
      <c r="AL9" s="125">
        <v>0</v>
      </c>
      <c r="AM9" s="125">
        <v>1</v>
      </c>
      <c r="AN9" s="125">
        <v>0</v>
      </c>
      <c r="AO9" s="125">
        <v>0</v>
      </c>
      <c r="AP9" s="125">
        <v>0</v>
      </c>
      <c r="AQ9" s="125" t="s">
        <v>73</v>
      </c>
      <c r="AR9" s="125" t="s">
        <v>227</v>
      </c>
      <c r="AS9" s="125" t="s">
        <v>261</v>
      </c>
      <c r="AT9" s="125" t="s">
        <v>73</v>
      </c>
      <c r="AU9" s="127">
        <v>1.0999999999999999E-2</v>
      </c>
      <c r="AV9" s="128" t="s">
        <v>80</v>
      </c>
      <c r="AW9" s="125">
        <v>2.5000000000000001E-2</v>
      </c>
      <c r="AX9" s="125">
        <v>0.1</v>
      </c>
      <c r="AY9" s="125">
        <v>2</v>
      </c>
      <c r="AZ9" s="125">
        <f t="shared" si="6"/>
        <v>0.43999999999999995</v>
      </c>
      <c r="BA9" s="129" t="s">
        <v>73</v>
      </c>
      <c r="BB9" s="129"/>
      <c r="BC9" s="126" t="s">
        <v>73</v>
      </c>
      <c r="BD9" s="126">
        <f>BI9-BG9</f>
        <v>294</v>
      </c>
      <c r="BE9" s="114" t="s">
        <v>73</v>
      </c>
      <c r="BF9" s="126" t="s">
        <v>73</v>
      </c>
      <c r="BG9" s="126">
        <v>793</v>
      </c>
      <c r="BH9" s="126" t="s">
        <v>73</v>
      </c>
      <c r="BI9" s="126">
        <v>1087</v>
      </c>
      <c r="BJ9" s="126">
        <v>1087</v>
      </c>
      <c r="BK9" s="126">
        <v>1.0999999999999999E-2</v>
      </c>
      <c r="BL9" s="126" t="s">
        <v>73</v>
      </c>
      <c r="BM9" s="125" t="s">
        <v>73</v>
      </c>
      <c r="BN9" s="125" t="s">
        <v>73</v>
      </c>
      <c r="BO9" s="126" t="s">
        <v>73</v>
      </c>
      <c r="BP9" s="126" t="s">
        <v>73</v>
      </c>
      <c r="BQ9" s="126" t="s">
        <v>73</v>
      </c>
      <c r="BR9" s="126" t="s">
        <v>73</v>
      </c>
      <c r="BS9" s="126" t="s">
        <v>73</v>
      </c>
      <c r="BT9" s="126" t="s">
        <v>73</v>
      </c>
      <c r="BU9" s="125">
        <v>0</v>
      </c>
      <c r="BV9" s="125">
        <v>0</v>
      </c>
      <c r="BW9" s="125">
        <v>1</v>
      </c>
      <c r="BX9" s="130">
        <f>CB9/((CB9^2+4)^(1/2))</f>
        <v>0.21486178267511974</v>
      </c>
      <c r="BY9" s="30">
        <f t="shared" si="3"/>
        <v>0.21826290743988225</v>
      </c>
      <c r="BZ9" s="30">
        <f t="shared" si="4"/>
        <v>9.1872058431916861E-4</v>
      </c>
      <c r="CA9" s="30">
        <f t="shared" si="5"/>
        <v>9.225092250922509E-4</v>
      </c>
      <c r="CB9" s="114">
        <f>BK9/AW9</f>
        <v>0.43999999999999995</v>
      </c>
      <c r="CC9">
        <f t="shared" si="7"/>
        <v>1085</v>
      </c>
      <c r="CD9" s="95" t="s">
        <v>73</v>
      </c>
    </row>
    <row r="10" spans="1:82" ht="16">
      <c r="A10" s="105" t="s">
        <v>68</v>
      </c>
      <c r="B10" s="105">
        <v>3</v>
      </c>
      <c r="C10" s="105">
        <v>1089</v>
      </c>
      <c r="D10" s="108">
        <v>115</v>
      </c>
      <c r="E10" s="108" t="s">
        <v>255</v>
      </c>
      <c r="F10" s="105">
        <v>2016</v>
      </c>
      <c r="G10" s="108" t="s">
        <v>256</v>
      </c>
      <c r="H10" s="117" t="s">
        <v>257</v>
      </c>
      <c r="I10" s="108">
        <v>2</v>
      </c>
      <c r="J10" s="108" t="s">
        <v>258</v>
      </c>
      <c r="K10" s="118" t="s">
        <v>73</v>
      </c>
      <c r="L10" s="108">
        <v>2532</v>
      </c>
      <c r="M10" s="108" t="s">
        <v>93</v>
      </c>
      <c r="N10" s="108" t="s">
        <v>259</v>
      </c>
      <c r="O10" s="108" t="s">
        <v>81</v>
      </c>
      <c r="P10" s="118" t="s">
        <v>221</v>
      </c>
      <c r="Q10" s="108" t="s">
        <v>260</v>
      </c>
      <c r="R10" s="108" t="s">
        <v>243</v>
      </c>
      <c r="S10" s="108">
        <v>1</v>
      </c>
      <c r="T10" s="108" t="s">
        <v>224</v>
      </c>
      <c r="U10" s="108">
        <v>1</v>
      </c>
      <c r="V10" s="118" t="s">
        <v>225</v>
      </c>
      <c r="W10" s="118" t="s">
        <v>225</v>
      </c>
      <c r="X10" s="118" t="s">
        <v>73</v>
      </c>
      <c r="Y10" s="108">
        <v>0</v>
      </c>
      <c r="Z10" s="108">
        <v>1</v>
      </c>
      <c r="AA10" s="108">
        <v>0</v>
      </c>
      <c r="AB10" s="108">
        <v>1</v>
      </c>
      <c r="AC10" s="108">
        <v>0</v>
      </c>
      <c r="AD10" s="108">
        <v>0</v>
      </c>
      <c r="AE10" s="108">
        <v>0</v>
      </c>
      <c r="AF10" s="108">
        <v>0</v>
      </c>
      <c r="AG10" s="108" t="s">
        <v>73</v>
      </c>
      <c r="AH10" s="108">
        <v>0</v>
      </c>
      <c r="AI10" s="108">
        <v>0</v>
      </c>
      <c r="AJ10" s="108">
        <v>0</v>
      </c>
      <c r="AK10" s="108">
        <v>0</v>
      </c>
      <c r="AL10" s="108">
        <v>0</v>
      </c>
      <c r="AM10" s="108">
        <v>1</v>
      </c>
      <c r="AN10" s="108">
        <v>0</v>
      </c>
      <c r="AO10" s="108">
        <v>0</v>
      </c>
      <c r="AP10" s="108">
        <v>0</v>
      </c>
      <c r="AQ10" s="108" t="s">
        <v>73</v>
      </c>
      <c r="AR10" s="108" t="s">
        <v>227</v>
      </c>
      <c r="AS10" s="108" t="s">
        <v>261</v>
      </c>
      <c r="AT10" s="108" t="s">
        <v>229</v>
      </c>
      <c r="AU10" s="119">
        <v>5.3999999999999999E-2</v>
      </c>
      <c r="AV10" s="120" t="s">
        <v>80</v>
      </c>
      <c r="AW10" s="108">
        <v>6.6000000000000003E-2</v>
      </c>
      <c r="AX10" s="108">
        <v>0.1</v>
      </c>
      <c r="AY10" s="108">
        <v>2</v>
      </c>
      <c r="AZ10" s="108">
        <f t="shared" si="6"/>
        <v>0.81818181818181812</v>
      </c>
      <c r="BA10" s="121">
        <f>EXP(AU10)-1</f>
        <v>5.5484602155080109E-2</v>
      </c>
      <c r="BB10" s="112">
        <f>EXP(AU10)/(1+EXP(AU10))</f>
        <v>0.51349672045631156</v>
      </c>
      <c r="BC10" s="118" t="s">
        <v>73</v>
      </c>
      <c r="BD10" s="118" t="s">
        <v>73</v>
      </c>
      <c r="BE10" s="118" t="s">
        <v>73</v>
      </c>
      <c r="BF10" s="118" t="s">
        <v>73</v>
      </c>
      <c r="BG10" s="118" t="s">
        <v>73</v>
      </c>
      <c r="BH10" s="118" t="s">
        <v>73</v>
      </c>
      <c r="BI10" s="118">
        <v>1087</v>
      </c>
      <c r="BJ10" s="118">
        <v>1087</v>
      </c>
      <c r="BK10" s="118" t="s">
        <v>73</v>
      </c>
      <c r="BL10" s="118" t="s">
        <v>73</v>
      </c>
      <c r="BM10" s="108" t="s">
        <v>73</v>
      </c>
      <c r="BN10" s="108" t="s">
        <v>73</v>
      </c>
      <c r="BO10" s="108" t="s">
        <v>240</v>
      </c>
      <c r="BP10" s="118" t="s">
        <v>73</v>
      </c>
      <c r="BQ10" s="118" t="s">
        <v>73</v>
      </c>
      <c r="BR10" s="118" t="s">
        <v>73</v>
      </c>
      <c r="BS10" s="118" t="s">
        <v>73</v>
      </c>
      <c r="BT10" s="118" t="s">
        <v>73</v>
      </c>
      <c r="BU10" s="108">
        <v>0</v>
      </c>
      <c r="BV10" s="108">
        <v>0</v>
      </c>
      <c r="BW10" s="108">
        <v>1</v>
      </c>
      <c r="BX10" s="123">
        <f>((AZ10^2)/(AZ10^2+BI10))^(1/2)</f>
        <v>2.4808549041116852E-2</v>
      </c>
      <c r="BY10" s="123">
        <f t="shared" si="3"/>
        <v>2.4813640511901335E-2</v>
      </c>
      <c r="BZ10" s="123">
        <f t="shared" si="4"/>
        <v>9.2080996398975789E-4</v>
      </c>
      <c r="CA10" s="123">
        <f t="shared" si="5"/>
        <v>9.225092250922509E-4</v>
      </c>
      <c r="CB10" s="95" t="s">
        <v>73</v>
      </c>
      <c r="CC10">
        <f t="shared" si="7"/>
        <v>1085</v>
      </c>
      <c r="CD10" s="95" t="s">
        <v>73</v>
      </c>
    </row>
    <row r="11" spans="1:82" ht="16">
      <c r="A11" s="105" t="s">
        <v>68</v>
      </c>
      <c r="B11" s="105">
        <v>3</v>
      </c>
      <c r="C11" s="105">
        <v>1088</v>
      </c>
      <c r="D11" s="108">
        <v>115</v>
      </c>
      <c r="E11" s="108" t="s">
        <v>255</v>
      </c>
      <c r="F11" s="105">
        <v>2016</v>
      </c>
      <c r="G11" s="108" t="s">
        <v>256</v>
      </c>
      <c r="H11" s="117" t="s">
        <v>257</v>
      </c>
      <c r="I11" s="108">
        <v>2</v>
      </c>
      <c r="J11" s="108" t="s">
        <v>258</v>
      </c>
      <c r="K11" s="118" t="s">
        <v>73</v>
      </c>
      <c r="L11" s="108">
        <v>2532</v>
      </c>
      <c r="M11" s="108" t="s">
        <v>93</v>
      </c>
      <c r="N11" s="108" t="s">
        <v>259</v>
      </c>
      <c r="O11" s="108" t="s">
        <v>81</v>
      </c>
      <c r="P11" s="118" t="s">
        <v>221</v>
      </c>
      <c r="Q11" s="108" t="s">
        <v>260</v>
      </c>
      <c r="R11" s="108" t="s">
        <v>243</v>
      </c>
      <c r="S11" s="108">
        <v>1</v>
      </c>
      <c r="T11" s="108" t="s">
        <v>224</v>
      </c>
      <c r="U11" s="108">
        <v>1</v>
      </c>
      <c r="V11" s="118" t="s">
        <v>225</v>
      </c>
      <c r="W11" s="118" t="s">
        <v>225</v>
      </c>
      <c r="X11" s="118" t="s">
        <v>73</v>
      </c>
      <c r="Y11" s="108">
        <v>0</v>
      </c>
      <c r="Z11" s="108">
        <v>0</v>
      </c>
      <c r="AA11" s="108">
        <v>0</v>
      </c>
      <c r="AB11" s="108">
        <v>1</v>
      </c>
      <c r="AC11" s="108">
        <v>0</v>
      </c>
      <c r="AD11" s="108">
        <v>0</v>
      </c>
      <c r="AE11" s="108">
        <v>0</v>
      </c>
      <c r="AF11" s="108">
        <v>0</v>
      </c>
      <c r="AG11" s="108" t="s">
        <v>73</v>
      </c>
      <c r="AH11" s="108">
        <v>0</v>
      </c>
      <c r="AI11" s="108">
        <v>0</v>
      </c>
      <c r="AJ11" s="108">
        <v>0</v>
      </c>
      <c r="AK11" s="108">
        <v>0</v>
      </c>
      <c r="AL11" s="108">
        <v>0</v>
      </c>
      <c r="AM11" s="108">
        <v>1</v>
      </c>
      <c r="AN11" s="108">
        <v>0</v>
      </c>
      <c r="AO11" s="108">
        <v>0</v>
      </c>
      <c r="AP11" s="108">
        <v>0</v>
      </c>
      <c r="AQ11" s="108" t="s">
        <v>73</v>
      </c>
      <c r="AR11" s="108" t="s">
        <v>227</v>
      </c>
      <c r="AS11" s="108" t="s">
        <v>261</v>
      </c>
      <c r="AT11" s="108" t="s">
        <v>229</v>
      </c>
      <c r="AU11" s="119">
        <v>0.105</v>
      </c>
      <c r="AV11" s="120" t="s">
        <v>80</v>
      </c>
      <c r="AW11" s="108">
        <v>3.3000000000000002E-2</v>
      </c>
      <c r="AX11" s="108">
        <v>0.01</v>
      </c>
      <c r="AY11" s="108">
        <v>1</v>
      </c>
      <c r="AZ11" s="108">
        <f t="shared" si="6"/>
        <v>3.1818181818181817</v>
      </c>
      <c r="BA11" s="121">
        <f>EXP(AU11)-1</f>
        <v>0.11071061035570517</v>
      </c>
      <c r="BB11" s="112">
        <f>EXP(AU11)/(1+EXP(AU11))</f>
        <v>0.5262259093720687</v>
      </c>
      <c r="BC11" s="118" t="s">
        <v>73</v>
      </c>
      <c r="BD11" s="118" t="s">
        <v>73</v>
      </c>
      <c r="BE11" s="118" t="s">
        <v>73</v>
      </c>
      <c r="BF11" s="118" t="s">
        <v>73</v>
      </c>
      <c r="BG11" s="118" t="s">
        <v>73</v>
      </c>
      <c r="BH11" s="118" t="s">
        <v>73</v>
      </c>
      <c r="BI11" s="118">
        <v>1087</v>
      </c>
      <c r="BJ11" s="118">
        <v>1087</v>
      </c>
      <c r="BK11" s="118" t="s">
        <v>73</v>
      </c>
      <c r="BL11" s="118" t="s">
        <v>73</v>
      </c>
      <c r="BM11" s="108" t="s">
        <v>73</v>
      </c>
      <c r="BN11" s="108" t="s">
        <v>73</v>
      </c>
      <c r="BO11" s="108" t="s">
        <v>240</v>
      </c>
      <c r="BP11" s="118" t="s">
        <v>73</v>
      </c>
      <c r="BQ11" s="118" t="s">
        <v>73</v>
      </c>
      <c r="BR11" s="118" t="s">
        <v>73</v>
      </c>
      <c r="BS11" s="118" t="s">
        <v>73</v>
      </c>
      <c r="BT11" s="118" t="s">
        <v>73</v>
      </c>
      <c r="BU11" s="108">
        <v>0</v>
      </c>
      <c r="BV11" s="108">
        <v>0</v>
      </c>
      <c r="BW11" s="108">
        <v>1</v>
      </c>
      <c r="BX11" s="123">
        <f>((AZ11^2)/(AZ11^2+BI11))^(1/2)</f>
        <v>9.6061089497837926E-2</v>
      </c>
      <c r="BY11" s="123">
        <f t="shared" si="3"/>
        <v>9.6358211658461979E-2</v>
      </c>
      <c r="BZ11" s="123">
        <f t="shared" si="4"/>
        <v>9.2073093051564905E-4</v>
      </c>
      <c r="CA11" s="123">
        <f t="shared" si="5"/>
        <v>9.225092250922509E-4</v>
      </c>
      <c r="CB11" s="95" t="s">
        <v>73</v>
      </c>
      <c r="CC11">
        <f t="shared" si="7"/>
        <v>1085</v>
      </c>
      <c r="CD11" s="95" t="s">
        <v>73</v>
      </c>
    </row>
    <row r="12" spans="1:82" ht="16">
      <c r="A12" s="132" t="s">
        <v>68</v>
      </c>
      <c r="B12" s="132">
        <v>4</v>
      </c>
      <c r="C12" s="133">
        <v>1112</v>
      </c>
      <c r="D12" s="132">
        <v>121</v>
      </c>
      <c r="E12" s="132" t="s">
        <v>524</v>
      </c>
      <c r="F12" s="132">
        <v>1982</v>
      </c>
      <c r="G12" s="132" t="s">
        <v>525</v>
      </c>
      <c r="H12" s="132" t="s">
        <v>526</v>
      </c>
      <c r="I12" s="132">
        <v>2</v>
      </c>
      <c r="J12" s="132">
        <v>1982</v>
      </c>
      <c r="K12" s="132" t="s">
        <v>73</v>
      </c>
      <c r="L12" s="132">
        <v>167</v>
      </c>
      <c r="M12" s="132" t="s">
        <v>107</v>
      </c>
      <c r="N12" s="132" t="s">
        <v>259</v>
      </c>
      <c r="O12" s="132" t="s">
        <v>527</v>
      </c>
      <c r="P12" s="132" t="s">
        <v>221</v>
      </c>
      <c r="Q12" s="132" t="s">
        <v>275</v>
      </c>
      <c r="R12" s="132" t="s">
        <v>276</v>
      </c>
      <c r="S12" s="132">
        <v>0</v>
      </c>
      <c r="T12" s="132" t="s">
        <v>224</v>
      </c>
      <c r="U12" s="132">
        <v>0</v>
      </c>
      <c r="V12" s="132" t="s">
        <v>225</v>
      </c>
      <c r="W12" s="132" t="s">
        <v>225</v>
      </c>
      <c r="X12" s="132" t="s">
        <v>528</v>
      </c>
      <c r="Y12" s="132">
        <v>0</v>
      </c>
      <c r="Z12" s="132">
        <v>1</v>
      </c>
      <c r="AA12" s="132">
        <v>1</v>
      </c>
      <c r="AB12" s="132">
        <v>0</v>
      </c>
      <c r="AC12" s="132">
        <v>0</v>
      </c>
      <c r="AD12" s="132">
        <v>0</v>
      </c>
      <c r="AE12" s="132">
        <v>0</v>
      </c>
      <c r="AF12" s="132">
        <v>0</v>
      </c>
      <c r="AG12" s="132" t="s">
        <v>529</v>
      </c>
      <c r="AH12" s="132">
        <v>0</v>
      </c>
      <c r="AI12" s="132">
        <v>0</v>
      </c>
      <c r="AJ12" s="132">
        <v>0</v>
      </c>
      <c r="AK12" s="132">
        <v>1</v>
      </c>
      <c r="AL12" s="132">
        <v>0</v>
      </c>
      <c r="AM12" s="132">
        <v>0</v>
      </c>
      <c r="AN12" s="132">
        <v>0</v>
      </c>
      <c r="AO12" s="132">
        <v>0</v>
      </c>
      <c r="AP12" s="132">
        <v>0</v>
      </c>
      <c r="AQ12" s="132" t="s">
        <v>530</v>
      </c>
      <c r="AR12" s="132" t="s">
        <v>227</v>
      </c>
      <c r="AS12" s="132" t="s">
        <v>73</v>
      </c>
      <c r="AT12" s="132" t="s">
        <v>510</v>
      </c>
      <c r="AU12" s="134" t="s">
        <v>73</v>
      </c>
      <c r="AV12" s="135" t="s">
        <v>80</v>
      </c>
      <c r="AW12" s="132">
        <f>AZ12/ABS(_xlfn.T.INV.2T(AX12,CC12))</f>
        <v>2.287361707025994</v>
      </c>
      <c r="AX12" s="132">
        <v>0.05</v>
      </c>
      <c r="AY12" s="132">
        <v>2</v>
      </c>
      <c r="AZ12" s="132">
        <v>4.53</v>
      </c>
      <c r="BA12" s="136">
        <f>BK12/BC12</f>
        <v>0.85185185185185175</v>
      </c>
      <c r="BB12" s="136"/>
      <c r="BC12" s="132">
        <v>0.27</v>
      </c>
      <c r="BD12" s="132">
        <v>26</v>
      </c>
      <c r="BE12" s="132" t="s">
        <v>73</v>
      </c>
      <c r="BF12" s="132">
        <v>0.5</v>
      </c>
      <c r="BG12" s="132">
        <v>16</v>
      </c>
      <c r="BH12" s="132" t="s">
        <v>73</v>
      </c>
      <c r="BI12" s="132">
        <v>119</v>
      </c>
      <c r="BJ12" s="132">
        <v>1116</v>
      </c>
      <c r="BK12" s="132">
        <f>BF12-BC12</f>
        <v>0.22999999999999998</v>
      </c>
      <c r="BL12" s="132" t="s">
        <v>73</v>
      </c>
      <c r="BM12" s="132" t="s">
        <v>73</v>
      </c>
      <c r="BN12" s="132" t="s">
        <v>73</v>
      </c>
      <c r="BO12" s="132" t="s">
        <v>73</v>
      </c>
      <c r="BP12" s="132">
        <v>1</v>
      </c>
      <c r="BQ12" s="132">
        <v>43</v>
      </c>
      <c r="BR12" s="132">
        <v>1</v>
      </c>
      <c r="BS12" s="132">
        <v>123</v>
      </c>
      <c r="BT12" s="132" t="s">
        <v>326</v>
      </c>
      <c r="BU12" s="132">
        <v>0</v>
      </c>
      <c r="BV12" s="132">
        <v>0</v>
      </c>
      <c r="BW12" s="132">
        <v>0</v>
      </c>
      <c r="BX12" s="137">
        <f t="shared" ref="BX12:BX17" si="8">CB12/((CB12^2+4)^(1/2))</f>
        <v>5.0212842027547909E-2</v>
      </c>
      <c r="BY12" s="123">
        <f t="shared" si="3"/>
        <v>5.0255107024421791E-2</v>
      </c>
      <c r="BZ12" s="123">
        <f t="shared" si="4"/>
        <v>8.4745222158217736E-3</v>
      </c>
      <c r="CA12" s="101">
        <f t="shared" si="5"/>
        <v>8.6206896551724137E-3</v>
      </c>
      <c r="CB12" s="132">
        <f t="shared" ref="CB12" si="9">BK12/AW12</f>
        <v>0.1005525270854708</v>
      </c>
      <c r="CC12" s="32">
        <f t="shared" si="7"/>
        <v>117</v>
      </c>
      <c r="CD12" s="95" t="s">
        <v>73</v>
      </c>
    </row>
    <row r="13" spans="1:82" ht="16">
      <c r="A13" s="139" t="s">
        <v>262</v>
      </c>
      <c r="B13" s="139">
        <v>5</v>
      </c>
      <c r="C13" s="140">
        <v>1274</v>
      </c>
      <c r="D13" s="141">
        <v>401</v>
      </c>
      <c r="E13" s="139" t="s">
        <v>568</v>
      </c>
      <c r="F13" s="141">
        <v>2019</v>
      </c>
      <c r="G13" s="139" t="s">
        <v>569</v>
      </c>
      <c r="H13" s="139" t="s">
        <v>570</v>
      </c>
      <c r="I13" s="142">
        <v>2</v>
      </c>
      <c r="J13" s="139" t="s">
        <v>73</v>
      </c>
      <c r="K13" s="139" t="s">
        <v>73</v>
      </c>
      <c r="L13" s="142">
        <v>4</v>
      </c>
      <c r="M13" s="139" t="s">
        <v>107</v>
      </c>
      <c r="N13" s="142" t="s">
        <v>259</v>
      </c>
      <c r="O13" s="139" t="s">
        <v>81</v>
      </c>
      <c r="P13" s="139" t="s">
        <v>235</v>
      </c>
      <c r="Q13" s="139" t="s">
        <v>236</v>
      </c>
      <c r="R13" s="139" t="s">
        <v>237</v>
      </c>
      <c r="S13" s="139">
        <v>0</v>
      </c>
      <c r="T13" s="139" t="s">
        <v>224</v>
      </c>
      <c r="U13" s="139">
        <v>0</v>
      </c>
      <c r="V13" s="139" t="s">
        <v>252</v>
      </c>
      <c r="W13" s="139" t="s">
        <v>225</v>
      </c>
      <c r="X13" s="141" t="s">
        <v>571</v>
      </c>
      <c r="Y13" s="142">
        <v>0</v>
      </c>
      <c r="Z13" s="142">
        <v>1</v>
      </c>
      <c r="AA13" s="142">
        <v>0</v>
      </c>
      <c r="AB13" s="142">
        <v>0</v>
      </c>
      <c r="AC13" s="142">
        <v>0</v>
      </c>
      <c r="AD13" s="142">
        <v>0</v>
      </c>
      <c r="AE13" s="142">
        <v>0</v>
      </c>
      <c r="AF13" s="142">
        <v>0</v>
      </c>
      <c r="AG13" s="142" t="s">
        <v>572</v>
      </c>
      <c r="AH13" s="142">
        <v>0</v>
      </c>
      <c r="AI13" s="142">
        <v>0</v>
      </c>
      <c r="AJ13" s="142">
        <v>0</v>
      </c>
      <c r="AK13" s="142">
        <v>0</v>
      </c>
      <c r="AL13" s="142">
        <v>0</v>
      </c>
      <c r="AM13" s="142">
        <v>1</v>
      </c>
      <c r="AN13" s="142">
        <v>0</v>
      </c>
      <c r="AO13" s="142">
        <v>0</v>
      </c>
      <c r="AP13" s="142">
        <v>0</v>
      </c>
      <c r="AQ13" s="139" t="s">
        <v>573</v>
      </c>
      <c r="AR13" s="139" t="s">
        <v>227</v>
      </c>
      <c r="AS13" s="139" t="s">
        <v>319</v>
      </c>
      <c r="AT13" s="139" t="s">
        <v>73</v>
      </c>
      <c r="AU13" s="143" t="s">
        <v>73</v>
      </c>
      <c r="AV13" s="143" t="s">
        <v>80</v>
      </c>
      <c r="AW13" s="139" t="s">
        <v>73</v>
      </c>
      <c r="AX13" s="139">
        <v>0.16600000000000001</v>
      </c>
      <c r="AY13" s="139" t="s">
        <v>73</v>
      </c>
      <c r="AZ13" s="154">
        <f>TINV(AX13,CC13)</f>
        <v>1.3948660961632151</v>
      </c>
      <c r="BA13" s="144">
        <v>0.18</v>
      </c>
      <c r="BB13" s="144"/>
      <c r="BC13" s="145" t="s">
        <v>73</v>
      </c>
      <c r="BD13" s="139">
        <v>54</v>
      </c>
      <c r="BE13" s="139" t="s">
        <v>73</v>
      </c>
      <c r="BF13" s="139" t="s">
        <v>73</v>
      </c>
      <c r="BG13" s="139">
        <v>53</v>
      </c>
      <c r="BH13" s="139" t="s">
        <v>73</v>
      </c>
      <c r="BI13" s="139">
        <v>107</v>
      </c>
      <c r="BJ13" s="139">
        <v>107</v>
      </c>
      <c r="BK13" s="139" t="s">
        <v>73</v>
      </c>
      <c r="BL13" s="139" t="s">
        <v>73</v>
      </c>
      <c r="BM13" s="139" t="s">
        <v>73</v>
      </c>
      <c r="BN13" s="139" t="s">
        <v>73</v>
      </c>
      <c r="BO13" s="139" t="s">
        <v>73</v>
      </c>
      <c r="BP13" s="139" t="s">
        <v>73</v>
      </c>
      <c r="BQ13" s="139" t="s">
        <v>73</v>
      </c>
      <c r="BR13" s="139" t="s">
        <v>73</v>
      </c>
      <c r="BS13" s="139" t="s">
        <v>73</v>
      </c>
      <c r="BT13" s="139" t="s">
        <v>73</v>
      </c>
      <c r="BU13" s="142">
        <v>0</v>
      </c>
      <c r="BV13" s="142">
        <v>0</v>
      </c>
      <c r="BW13" s="142">
        <v>0</v>
      </c>
      <c r="BX13" s="146">
        <f t="shared" si="8"/>
        <v>0.99035329064581556</v>
      </c>
      <c r="BY13" s="156">
        <f t="shared" si="3"/>
        <v>2.6647252886591635</v>
      </c>
      <c r="BZ13" s="156">
        <f t="shared" si="4"/>
        <v>-0.46623400799993642</v>
      </c>
      <c r="CA13" s="156">
        <f t="shared" si="5"/>
        <v>9.6153846153846159E-3</v>
      </c>
      <c r="CB13" s="139">
        <f xml:space="preserve"> AZ13*(((BD13+BG13)/BD13*BG13)^(1/2))</f>
        <v>14.294384573518929</v>
      </c>
      <c r="CC13" s="122">
        <f t="shared" si="7"/>
        <v>105</v>
      </c>
      <c r="CD13" s="122" t="s">
        <v>648</v>
      </c>
    </row>
    <row r="14" spans="1:82" ht="16">
      <c r="A14" s="139" t="s">
        <v>68</v>
      </c>
      <c r="B14" s="139">
        <v>6</v>
      </c>
      <c r="C14" s="140">
        <v>1210</v>
      </c>
      <c r="D14" s="139">
        <v>151</v>
      </c>
      <c r="E14" s="139" t="s">
        <v>537</v>
      </c>
      <c r="F14" s="139">
        <v>2014</v>
      </c>
      <c r="G14" s="139" t="s">
        <v>133</v>
      </c>
      <c r="H14" s="139" t="s">
        <v>134</v>
      </c>
      <c r="I14" s="139">
        <v>1</v>
      </c>
      <c r="J14" s="140" t="s">
        <v>135</v>
      </c>
      <c r="K14" s="140" t="s">
        <v>73</v>
      </c>
      <c r="L14" s="140">
        <v>25</v>
      </c>
      <c r="M14" s="140" t="s">
        <v>107</v>
      </c>
      <c r="N14" s="140" t="s">
        <v>259</v>
      </c>
      <c r="O14" s="139" t="s">
        <v>138</v>
      </c>
      <c r="P14" s="139" t="s">
        <v>221</v>
      </c>
      <c r="Q14" s="139" t="s">
        <v>275</v>
      </c>
      <c r="R14" s="139" t="s">
        <v>276</v>
      </c>
      <c r="S14" s="139">
        <v>0</v>
      </c>
      <c r="T14" s="139" t="s">
        <v>189</v>
      </c>
      <c r="U14" s="139">
        <v>1</v>
      </c>
      <c r="V14" s="140" t="s">
        <v>252</v>
      </c>
      <c r="W14" s="140" t="s">
        <v>225</v>
      </c>
      <c r="X14" s="140" t="s">
        <v>140</v>
      </c>
      <c r="Y14" s="139">
        <v>0</v>
      </c>
      <c r="Z14" s="139">
        <v>0</v>
      </c>
      <c r="AA14" s="139">
        <v>1</v>
      </c>
      <c r="AB14" s="139">
        <v>0</v>
      </c>
      <c r="AC14" s="139">
        <v>0</v>
      </c>
      <c r="AD14" s="139">
        <v>0</v>
      </c>
      <c r="AE14" s="139">
        <v>0</v>
      </c>
      <c r="AF14" s="139">
        <v>0</v>
      </c>
      <c r="AG14" s="139" t="s">
        <v>73</v>
      </c>
      <c r="AH14" s="139">
        <v>1</v>
      </c>
      <c r="AI14" s="139">
        <v>0</v>
      </c>
      <c r="AJ14" s="139">
        <v>0</v>
      </c>
      <c r="AK14" s="139">
        <v>0</v>
      </c>
      <c r="AL14" s="139">
        <v>0</v>
      </c>
      <c r="AM14" s="139">
        <v>0</v>
      </c>
      <c r="AN14" s="139">
        <v>0</v>
      </c>
      <c r="AO14" s="139">
        <v>0</v>
      </c>
      <c r="AP14" s="151">
        <v>0</v>
      </c>
      <c r="AQ14" s="139" t="s">
        <v>538</v>
      </c>
      <c r="AR14" s="139" t="s">
        <v>227</v>
      </c>
      <c r="AS14" s="152" t="s">
        <v>539</v>
      </c>
      <c r="AT14" s="139" t="s">
        <v>73</v>
      </c>
      <c r="AU14" s="153" t="s">
        <v>73</v>
      </c>
      <c r="AV14" s="153" t="s">
        <v>80</v>
      </c>
      <c r="AW14" s="139">
        <f>AZ14/ABS(_xlfn.T.INV.2T(AX14,CC14))</f>
        <v>1</v>
      </c>
      <c r="AX14" s="140">
        <v>0.1</v>
      </c>
      <c r="AY14" s="140">
        <v>2</v>
      </c>
      <c r="AZ14" s="154">
        <f>TINV(AX14,CC14)</f>
        <v>1.671552762454859</v>
      </c>
      <c r="BA14" s="155">
        <v>0.21</v>
      </c>
      <c r="BB14" s="155"/>
      <c r="BC14" s="140" t="s">
        <v>73</v>
      </c>
      <c r="BD14" s="140">
        <v>19</v>
      </c>
      <c r="BE14" s="140" t="s">
        <v>73</v>
      </c>
      <c r="BF14" s="140" t="s">
        <v>73</v>
      </c>
      <c r="BG14" s="140">
        <v>19</v>
      </c>
      <c r="BH14" s="140" t="s">
        <v>73</v>
      </c>
      <c r="BI14" s="140">
        <v>60</v>
      </c>
      <c r="BJ14" s="140">
        <v>51591</v>
      </c>
      <c r="BK14" s="140" t="s">
        <v>73</v>
      </c>
      <c r="BL14" s="140" t="s">
        <v>73</v>
      </c>
      <c r="BM14" s="139" t="s">
        <v>73</v>
      </c>
      <c r="BN14" s="139" t="s">
        <v>73</v>
      </c>
      <c r="BO14" s="139" t="s">
        <v>73</v>
      </c>
      <c r="BP14" s="139">
        <v>1</v>
      </c>
      <c r="BQ14" s="139">
        <v>185</v>
      </c>
      <c r="BR14" s="139" t="s">
        <v>73</v>
      </c>
      <c r="BS14" s="139" t="s">
        <v>73</v>
      </c>
      <c r="BT14" s="139" t="s">
        <v>73</v>
      </c>
      <c r="BU14" s="139">
        <v>0</v>
      </c>
      <c r="BV14" s="139">
        <v>0</v>
      </c>
      <c r="BW14" s="139">
        <v>0</v>
      </c>
      <c r="BX14" s="146">
        <f t="shared" si="8"/>
        <v>0.98167929810542942</v>
      </c>
      <c r="BY14" s="156">
        <f t="shared" si="3"/>
        <v>2.3418341115255341</v>
      </c>
      <c r="BZ14" s="156">
        <f t="shared" si="4"/>
        <v>-0.49281876467343599</v>
      </c>
      <c r="CA14" s="156">
        <f t="shared" si="5"/>
        <v>1.7543859649122806E-2</v>
      </c>
      <c r="CB14" s="139">
        <f t="shared" ref="CB14:CB17" si="10" xml:space="preserve"> AZ14*(((BD14+BG14)/BD14*BG14)^(1/2))</f>
        <v>10.304143255578207</v>
      </c>
      <c r="CC14" s="122">
        <f t="shared" si="7"/>
        <v>58</v>
      </c>
      <c r="CD14" s="122" t="s">
        <v>648</v>
      </c>
    </row>
    <row r="15" spans="1:82" ht="16">
      <c r="A15" s="139" t="s">
        <v>68</v>
      </c>
      <c r="B15" s="139">
        <v>6</v>
      </c>
      <c r="C15" s="140">
        <v>1211</v>
      </c>
      <c r="D15" s="139">
        <v>151</v>
      </c>
      <c r="E15" s="139" t="s">
        <v>537</v>
      </c>
      <c r="F15" s="139">
        <v>2014</v>
      </c>
      <c r="G15" s="139" t="s">
        <v>133</v>
      </c>
      <c r="H15" s="139" t="s">
        <v>134</v>
      </c>
      <c r="I15" s="139">
        <v>1</v>
      </c>
      <c r="J15" s="140" t="s">
        <v>135</v>
      </c>
      <c r="K15" s="140" t="s">
        <v>73</v>
      </c>
      <c r="L15" s="140">
        <v>25</v>
      </c>
      <c r="M15" s="140" t="s">
        <v>107</v>
      </c>
      <c r="N15" s="140" t="s">
        <v>259</v>
      </c>
      <c r="O15" s="139" t="s">
        <v>138</v>
      </c>
      <c r="P15" s="139" t="s">
        <v>221</v>
      </c>
      <c r="Q15" s="139" t="s">
        <v>275</v>
      </c>
      <c r="R15" s="139" t="s">
        <v>276</v>
      </c>
      <c r="S15" s="139">
        <v>0</v>
      </c>
      <c r="T15" s="139" t="s">
        <v>189</v>
      </c>
      <c r="U15" s="139">
        <v>1</v>
      </c>
      <c r="V15" s="140" t="s">
        <v>252</v>
      </c>
      <c r="W15" s="140" t="s">
        <v>225</v>
      </c>
      <c r="X15" s="140" t="s">
        <v>140</v>
      </c>
      <c r="Y15" s="139">
        <v>0</v>
      </c>
      <c r="Z15" s="139">
        <v>0</v>
      </c>
      <c r="AA15" s="139">
        <v>1</v>
      </c>
      <c r="AB15" s="139">
        <v>0</v>
      </c>
      <c r="AC15" s="139">
        <v>0</v>
      </c>
      <c r="AD15" s="139">
        <v>0</v>
      </c>
      <c r="AE15" s="139">
        <v>0</v>
      </c>
      <c r="AF15" s="139">
        <v>0</v>
      </c>
      <c r="AG15" s="139" t="s">
        <v>73</v>
      </c>
      <c r="AH15" s="139">
        <v>0</v>
      </c>
      <c r="AI15" s="139">
        <v>1</v>
      </c>
      <c r="AJ15" s="139">
        <v>0</v>
      </c>
      <c r="AK15" s="139">
        <v>0</v>
      </c>
      <c r="AL15" s="139">
        <v>0</v>
      </c>
      <c r="AM15" s="139">
        <v>0</v>
      </c>
      <c r="AN15" s="139">
        <v>0</v>
      </c>
      <c r="AO15" s="139">
        <v>0</v>
      </c>
      <c r="AP15" s="151">
        <v>0</v>
      </c>
      <c r="AQ15" s="139" t="s">
        <v>538</v>
      </c>
      <c r="AR15" s="139" t="s">
        <v>227</v>
      </c>
      <c r="AS15" s="152" t="s">
        <v>539</v>
      </c>
      <c r="AT15" s="139" t="s">
        <v>73</v>
      </c>
      <c r="AU15" s="153" t="s">
        <v>73</v>
      </c>
      <c r="AV15" s="153" t="s">
        <v>86</v>
      </c>
      <c r="AW15" s="139">
        <f>AZ15/ABS(_xlfn.T.INV.2T(AX15,CC15))</f>
        <v>0.98275932949058287</v>
      </c>
      <c r="AX15" s="140">
        <v>0.06</v>
      </c>
      <c r="AY15" s="140">
        <v>1</v>
      </c>
      <c r="AZ15" s="140">
        <v>2.06</v>
      </c>
      <c r="BA15" s="155">
        <v>0.71</v>
      </c>
      <c r="BB15" s="155"/>
      <c r="BC15" s="140" t="s">
        <v>73</v>
      </c>
      <c r="BD15" s="140">
        <v>19</v>
      </c>
      <c r="BE15" s="140" t="s">
        <v>73</v>
      </c>
      <c r="BF15" s="140" t="s">
        <v>73</v>
      </c>
      <c r="BG15" s="140">
        <v>19</v>
      </c>
      <c r="BH15" s="140" t="s">
        <v>73</v>
      </c>
      <c r="BI15" s="140">
        <v>13</v>
      </c>
      <c r="BJ15" s="140">
        <v>51591</v>
      </c>
      <c r="BK15" s="140" t="s">
        <v>73</v>
      </c>
      <c r="BL15" s="140" t="s">
        <v>73</v>
      </c>
      <c r="BM15" s="139" t="s">
        <v>73</v>
      </c>
      <c r="BN15" s="139" t="s">
        <v>73</v>
      </c>
      <c r="BO15" s="139" t="s">
        <v>73</v>
      </c>
      <c r="BP15" s="139">
        <v>1</v>
      </c>
      <c r="BQ15" s="139">
        <v>185</v>
      </c>
      <c r="BR15" s="139" t="s">
        <v>73</v>
      </c>
      <c r="BS15" s="139" t="s">
        <v>73</v>
      </c>
      <c r="BT15" s="139" t="s">
        <v>73</v>
      </c>
      <c r="BU15" s="139">
        <v>0</v>
      </c>
      <c r="BV15" s="139">
        <v>0</v>
      </c>
      <c r="BW15" s="139">
        <v>0</v>
      </c>
      <c r="BX15" s="146">
        <f t="shared" si="8"/>
        <v>0.98782348987798996</v>
      </c>
      <c r="BY15" s="156">
        <f t="shared" si="3"/>
        <v>2.5476434497739562</v>
      </c>
      <c r="BZ15" s="156">
        <f t="shared" si="4"/>
        <v>-3.4272019506382265</v>
      </c>
      <c r="CA15" s="156">
        <f t="shared" si="5"/>
        <v>0.1</v>
      </c>
      <c r="CB15" s="139">
        <f t="shared" si="10"/>
        <v>12.69869284611609</v>
      </c>
      <c r="CC15" s="122">
        <f t="shared" si="7"/>
        <v>11</v>
      </c>
      <c r="CD15" s="122" t="s">
        <v>648</v>
      </c>
    </row>
    <row r="16" spans="1:82" ht="16">
      <c r="A16" s="139" t="s">
        <v>68</v>
      </c>
      <c r="B16" s="139">
        <v>6</v>
      </c>
      <c r="C16" s="140">
        <v>1212</v>
      </c>
      <c r="D16" s="139">
        <v>151</v>
      </c>
      <c r="E16" s="139" t="s">
        <v>537</v>
      </c>
      <c r="F16" s="139">
        <v>2014</v>
      </c>
      <c r="G16" s="139" t="s">
        <v>133</v>
      </c>
      <c r="H16" s="139" t="s">
        <v>134</v>
      </c>
      <c r="I16" s="139">
        <v>1</v>
      </c>
      <c r="J16" s="140" t="s">
        <v>135</v>
      </c>
      <c r="K16" s="140" t="s">
        <v>73</v>
      </c>
      <c r="L16" s="140">
        <v>25</v>
      </c>
      <c r="M16" s="140" t="s">
        <v>107</v>
      </c>
      <c r="N16" s="140" t="s">
        <v>259</v>
      </c>
      <c r="O16" s="139" t="s">
        <v>138</v>
      </c>
      <c r="P16" s="139" t="s">
        <v>221</v>
      </c>
      <c r="Q16" s="139" t="s">
        <v>275</v>
      </c>
      <c r="R16" s="139" t="s">
        <v>276</v>
      </c>
      <c r="S16" s="139">
        <v>0</v>
      </c>
      <c r="T16" s="139" t="s">
        <v>189</v>
      </c>
      <c r="U16" s="139">
        <v>1</v>
      </c>
      <c r="V16" s="140" t="s">
        <v>252</v>
      </c>
      <c r="W16" s="140" t="s">
        <v>225</v>
      </c>
      <c r="X16" s="140" t="s">
        <v>140</v>
      </c>
      <c r="Y16" s="139">
        <v>0</v>
      </c>
      <c r="Z16" s="139">
        <v>0</v>
      </c>
      <c r="AA16" s="139">
        <v>1</v>
      </c>
      <c r="AB16" s="139">
        <v>0</v>
      </c>
      <c r="AC16" s="139">
        <v>0</v>
      </c>
      <c r="AD16" s="139">
        <v>0</v>
      </c>
      <c r="AE16" s="139">
        <v>0</v>
      </c>
      <c r="AF16" s="139">
        <v>0</v>
      </c>
      <c r="AG16" s="139" t="s">
        <v>73</v>
      </c>
      <c r="AH16" s="139">
        <v>0</v>
      </c>
      <c r="AI16" s="139">
        <v>1</v>
      </c>
      <c r="AJ16" s="139">
        <v>0</v>
      </c>
      <c r="AK16" s="139">
        <v>0</v>
      </c>
      <c r="AL16" s="139">
        <v>0</v>
      </c>
      <c r="AM16" s="139">
        <v>0</v>
      </c>
      <c r="AN16" s="139">
        <v>0</v>
      </c>
      <c r="AO16" s="139">
        <v>0</v>
      </c>
      <c r="AP16" s="151">
        <v>0</v>
      </c>
      <c r="AQ16" s="139" t="s">
        <v>538</v>
      </c>
      <c r="AR16" s="139" t="s">
        <v>227</v>
      </c>
      <c r="AS16" s="157" t="s">
        <v>539</v>
      </c>
      <c r="AT16" s="139" t="s">
        <v>73</v>
      </c>
      <c r="AU16" s="153" t="s">
        <v>73</v>
      </c>
      <c r="AV16" s="153" t="s">
        <v>80</v>
      </c>
      <c r="AW16" s="139">
        <f>AZ16/ABS(_xlfn.T.INV.2T(AX16,CC16))</f>
        <v>1</v>
      </c>
      <c r="AX16" s="140">
        <v>0.1</v>
      </c>
      <c r="AY16" s="140">
        <v>2</v>
      </c>
      <c r="AZ16" s="154">
        <f>TINV(AX16,CC16)</f>
        <v>1.6938887483837093</v>
      </c>
      <c r="BA16" s="155">
        <v>0.08</v>
      </c>
      <c r="BB16" s="155"/>
      <c r="BC16" s="140" t="s">
        <v>73</v>
      </c>
      <c r="BD16" s="140">
        <v>19</v>
      </c>
      <c r="BE16" s="140" t="s">
        <v>73</v>
      </c>
      <c r="BF16" s="140" t="s">
        <v>73</v>
      </c>
      <c r="BG16" s="140">
        <v>19</v>
      </c>
      <c r="BH16" s="140" t="s">
        <v>73</v>
      </c>
      <c r="BI16" s="140">
        <v>34</v>
      </c>
      <c r="BJ16" s="140">
        <v>51591</v>
      </c>
      <c r="BK16" s="140" t="s">
        <v>73</v>
      </c>
      <c r="BL16" s="140" t="s">
        <v>73</v>
      </c>
      <c r="BM16" s="139" t="s">
        <v>73</v>
      </c>
      <c r="BN16" s="139" t="s">
        <v>73</v>
      </c>
      <c r="BO16" s="139" t="s">
        <v>73</v>
      </c>
      <c r="BP16" s="139">
        <v>1</v>
      </c>
      <c r="BQ16" s="139">
        <v>185</v>
      </c>
      <c r="BR16" s="139" t="s">
        <v>73</v>
      </c>
      <c r="BS16" s="139" t="s">
        <v>73</v>
      </c>
      <c r="BT16" s="139" t="s">
        <v>73</v>
      </c>
      <c r="BU16" s="139">
        <v>0</v>
      </c>
      <c r="BV16" s="139">
        <v>0</v>
      </c>
      <c r="BW16" s="139">
        <v>0</v>
      </c>
      <c r="BX16" s="146">
        <f t="shared" si="8"/>
        <v>0.98214649771689333</v>
      </c>
      <c r="BY16" s="156">
        <f t="shared" si="3"/>
        <v>2.3548679654637126</v>
      </c>
      <c r="BZ16" s="156">
        <f t="shared" si="4"/>
        <v>-0.90156048263896793</v>
      </c>
      <c r="CA16" s="156">
        <f t="shared" si="5"/>
        <v>3.2258064516129031E-2</v>
      </c>
      <c r="CB16" s="139">
        <f t="shared" si="10"/>
        <v>10.44183152000813</v>
      </c>
      <c r="CC16" s="122">
        <f t="shared" si="7"/>
        <v>32</v>
      </c>
      <c r="CD16" s="122" t="s">
        <v>648</v>
      </c>
    </row>
    <row r="17" spans="1:82" ht="16">
      <c r="A17" s="139" t="s">
        <v>68</v>
      </c>
      <c r="B17" s="139">
        <v>6</v>
      </c>
      <c r="C17" s="140">
        <v>1214</v>
      </c>
      <c r="D17" s="139">
        <v>151</v>
      </c>
      <c r="E17" s="139" t="s">
        <v>537</v>
      </c>
      <c r="F17" s="139">
        <v>2014</v>
      </c>
      <c r="G17" s="139" t="s">
        <v>133</v>
      </c>
      <c r="H17" s="139" t="s">
        <v>134</v>
      </c>
      <c r="I17" s="139">
        <v>1</v>
      </c>
      <c r="J17" s="140" t="s">
        <v>135</v>
      </c>
      <c r="K17" s="140" t="s">
        <v>73</v>
      </c>
      <c r="L17" s="140">
        <v>25</v>
      </c>
      <c r="M17" s="140" t="s">
        <v>107</v>
      </c>
      <c r="N17" s="140" t="s">
        <v>259</v>
      </c>
      <c r="O17" s="139" t="s">
        <v>138</v>
      </c>
      <c r="P17" s="139" t="s">
        <v>221</v>
      </c>
      <c r="Q17" s="139" t="s">
        <v>275</v>
      </c>
      <c r="R17" s="139" t="s">
        <v>276</v>
      </c>
      <c r="S17" s="139">
        <v>0</v>
      </c>
      <c r="T17" s="139" t="s">
        <v>189</v>
      </c>
      <c r="U17" s="139">
        <v>1</v>
      </c>
      <c r="V17" s="140" t="s">
        <v>252</v>
      </c>
      <c r="W17" s="140" t="s">
        <v>225</v>
      </c>
      <c r="X17" s="140" t="s">
        <v>140</v>
      </c>
      <c r="Y17" s="139">
        <v>0</v>
      </c>
      <c r="Z17" s="139">
        <v>0</v>
      </c>
      <c r="AA17" s="139">
        <v>1</v>
      </c>
      <c r="AB17" s="139">
        <v>0</v>
      </c>
      <c r="AC17" s="139">
        <v>0</v>
      </c>
      <c r="AD17" s="139">
        <v>0</v>
      </c>
      <c r="AE17" s="139">
        <v>0</v>
      </c>
      <c r="AF17" s="139">
        <v>0</v>
      </c>
      <c r="AG17" s="139" t="s">
        <v>73</v>
      </c>
      <c r="AH17" s="139">
        <v>0</v>
      </c>
      <c r="AI17" s="139">
        <v>1</v>
      </c>
      <c r="AJ17" s="139">
        <v>0</v>
      </c>
      <c r="AK17" s="139">
        <v>0</v>
      </c>
      <c r="AL17" s="139">
        <v>0</v>
      </c>
      <c r="AM17" s="139">
        <v>0</v>
      </c>
      <c r="AN17" s="139">
        <v>0</v>
      </c>
      <c r="AO17" s="139">
        <v>0</v>
      </c>
      <c r="AP17" s="151">
        <v>0</v>
      </c>
      <c r="AQ17" s="139" t="s">
        <v>538</v>
      </c>
      <c r="AR17" s="139" t="s">
        <v>227</v>
      </c>
      <c r="AS17" s="157" t="s">
        <v>539</v>
      </c>
      <c r="AT17" s="139" t="s">
        <v>73</v>
      </c>
      <c r="AU17" s="153" t="s">
        <v>73</v>
      </c>
      <c r="AV17" s="153" t="s">
        <v>86</v>
      </c>
      <c r="AW17" s="139">
        <f>AZ17/ABS(_xlfn.T.INV.2T(AX17,CC17))</f>
        <v>1</v>
      </c>
      <c r="AX17" s="140">
        <v>0.1</v>
      </c>
      <c r="AY17" s="140">
        <v>2</v>
      </c>
      <c r="AZ17" s="154">
        <f>TINV(AX17,CC17)</f>
        <v>1.9431802805153031</v>
      </c>
      <c r="BA17" s="155">
        <v>0.08</v>
      </c>
      <c r="BB17" s="155"/>
      <c r="BC17" s="140" t="s">
        <v>73</v>
      </c>
      <c r="BD17" s="140">
        <v>19</v>
      </c>
      <c r="BE17" s="140" t="s">
        <v>73</v>
      </c>
      <c r="BF17" s="140" t="s">
        <v>73</v>
      </c>
      <c r="BG17" s="140">
        <v>19</v>
      </c>
      <c r="BH17" s="140" t="s">
        <v>73</v>
      </c>
      <c r="BI17" s="140">
        <v>8</v>
      </c>
      <c r="BJ17" s="140">
        <v>51591</v>
      </c>
      <c r="BK17" s="140" t="s">
        <v>73</v>
      </c>
      <c r="BL17" s="140" t="s">
        <v>73</v>
      </c>
      <c r="BM17" s="139" t="s">
        <v>73</v>
      </c>
      <c r="BN17" s="139" t="s">
        <v>73</v>
      </c>
      <c r="BO17" s="139" t="s">
        <v>73</v>
      </c>
      <c r="BP17" s="139">
        <v>1</v>
      </c>
      <c r="BQ17" s="139">
        <v>185</v>
      </c>
      <c r="BR17" s="139" t="s">
        <v>73</v>
      </c>
      <c r="BS17" s="139" t="s">
        <v>73</v>
      </c>
      <c r="BT17" s="139" t="s">
        <v>73</v>
      </c>
      <c r="BU17" s="139">
        <v>0</v>
      </c>
      <c r="BV17" s="139">
        <v>0</v>
      </c>
      <c r="BW17" s="139">
        <v>0</v>
      </c>
      <c r="BX17" s="146">
        <f t="shared" si="8"/>
        <v>0.98634618533596063</v>
      </c>
      <c r="BY17" s="156">
        <f t="shared" si="3"/>
        <v>2.4900165985584088</v>
      </c>
      <c r="BZ17" s="156">
        <f t="shared" si="4"/>
        <v>-5.3488950044228982</v>
      </c>
      <c r="CA17" s="156">
        <f t="shared" si="5"/>
        <v>0.2</v>
      </c>
      <c r="CB17" s="139">
        <f t="shared" si="10"/>
        <v>11.978567731501718</v>
      </c>
      <c r="CC17" s="122">
        <f t="shared" si="7"/>
        <v>6</v>
      </c>
      <c r="CD17" s="122" t="s">
        <v>648</v>
      </c>
    </row>
    <row r="18" spans="1:82" ht="16">
      <c r="A18" s="11" t="s">
        <v>68</v>
      </c>
      <c r="B18" s="11">
        <v>7</v>
      </c>
      <c r="C18" s="11">
        <v>1103</v>
      </c>
      <c r="D18">
        <v>120</v>
      </c>
      <c r="E18" t="s">
        <v>314</v>
      </c>
      <c r="F18" s="11">
        <v>2021</v>
      </c>
      <c r="G18" t="s">
        <v>315</v>
      </c>
      <c r="H18" s="22" t="s">
        <v>316</v>
      </c>
      <c r="I18">
        <v>2</v>
      </c>
      <c r="J18">
        <v>2018</v>
      </c>
      <c r="K18" s="10" t="s">
        <v>73</v>
      </c>
      <c r="L18">
        <v>296</v>
      </c>
      <c r="M18" t="s">
        <v>155</v>
      </c>
      <c r="N18" t="s">
        <v>112</v>
      </c>
      <c r="O18" t="s">
        <v>274</v>
      </c>
      <c r="P18" t="s">
        <v>221</v>
      </c>
      <c r="Q18" t="s">
        <v>275</v>
      </c>
      <c r="R18" t="s">
        <v>276</v>
      </c>
      <c r="S18">
        <v>0</v>
      </c>
      <c r="T18" t="s">
        <v>224</v>
      </c>
      <c r="U18">
        <v>1</v>
      </c>
      <c r="V18" s="18" t="s">
        <v>225</v>
      </c>
      <c r="W18" s="18" t="s">
        <v>225</v>
      </c>
      <c r="X18" s="18" t="s">
        <v>73</v>
      </c>
      <c r="Y18">
        <v>0</v>
      </c>
      <c r="Z18">
        <v>0</v>
      </c>
      <c r="AA18">
        <v>1</v>
      </c>
      <c r="AB18">
        <v>0</v>
      </c>
      <c r="AC18">
        <v>0</v>
      </c>
      <c r="AD18">
        <v>0</v>
      </c>
      <c r="AE18">
        <v>0</v>
      </c>
      <c r="AF18">
        <v>0</v>
      </c>
      <c r="AG18" t="s">
        <v>317</v>
      </c>
      <c r="AH18">
        <v>1</v>
      </c>
      <c r="AI18">
        <v>0</v>
      </c>
      <c r="AJ18">
        <v>0</v>
      </c>
      <c r="AK18">
        <v>0</v>
      </c>
      <c r="AL18">
        <v>0</v>
      </c>
      <c r="AM18">
        <v>0</v>
      </c>
      <c r="AN18" s="32">
        <v>0</v>
      </c>
      <c r="AO18">
        <v>0</v>
      </c>
      <c r="AP18">
        <v>0</v>
      </c>
      <c r="AQ18" t="s">
        <v>318</v>
      </c>
      <c r="AR18" t="s">
        <v>227</v>
      </c>
      <c r="AS18" t="s">
        <v>319</v>
      </c>
      <c r="AT18" t="s">
        <v>229</v>
      </c>
      <c r="AU18" s="21">
        <v>3.1600000000000003E-2</v>
      </c>
      <c r="AV18" s="7" t="s">
        <v>80</v>
      </c>
      <c r="AW18">
        <v>1.66E-2</v>
      </c>
      <c r="AX18">
        <v>0.1</v>
      </c>
      <c r="AY18">
        <v>1</v>
      </c>
      <c r="AZ18">
        <f t="shared" ref="AZ18:AZ26" si="11">AU18/AW18</f>
        <v>1.9036144578313254</v>
      </c>
      <c r="BA18" s="107">
        <f t="shared" ref="BA18:BA26" si="12">AU18</f>
        <v>3.1600000000000003E-2</v>
      </c>
      <c r="BB18" s="112">
        <f t="shared" ref="BB18:BB55" si="13">EXP(AU18)/(1+EXP(AU18))</f>
        <v>0.5078993426803039</v>
      </c>
      <c r="BC18" t="s">
        <v>73</v>
      </c>
      <c r="BD18" t="s">
        <v>73</v>
      </c>
      <c r="BE18" t="s">
        <v>73</v>
      </c>
      <c r="BF18" t="s">
        <v>73</v>
      </c>
      <c r="BG18" t="s">
        <v>73</v>
      </c>
      <c r="BH18" t="s">
        <v>73</v>
      </c>
      <c r="BI18">
        <v>1350</v>
      </c>
      <c r="BJ18">
        <v>1350</v>
      </c>
      <c r="BK18" t="s">
        <v>73</v>
      </c>
      <c r="BL18" t="s">
        <v>73</v>
      </c>
      <c r="BM18" t="s">
        <v>73</v>
      </c>
      <c r="BN18" t="s">
        <v>73</v>
      </c>
      <c r="BO18" t="s">
        <v>73</v>
      </c>
      <c r="BP18">
        <v>1</v>
      </c>
      <c r="BQ18" t="s">
        <v>73</v>
      </c>
      <c r="BR18">
        <v>0</v>
      </c>
      <c r="BS18" t="s">
        <v>73</v>
      </c>
      <c r="BT18" t="s">
        <v>73</v>
      </c>
      <c r="BU18">
        <v>0</v>
      </c>
      <c r="BV18">
        <v>0</v>
      </c>
      <c r="BW18">
        <v>1</v>
      </c>
      <c r="BX18" s="30">
        <f t="shared" ref="BX18:BX61" si="14">((AZ18^2)/(AZ18^2+BI18))^(1/2)</f>
        <v>5.1740427422851322E-2</v>
      </c>
      <c r="BY18" s="30">
        <f t="shared" si="3"/>
        <v>5.1786672673630553E-2</v>
      </c>
      <c r="BZ18" s="30">
        <f t="shared" si="4"/>
        <v>7.4128451269814776E-4</v>
      </c>
      <c r="CA18" s="30">
        <f t="shared" si="5"/>
        <v>7.4239049740163323E-4</v>
      </c>
      <c r="CB18" s="95" t="s">
        <v>73</v>
      </c>
      <c r="CC18">
        <f t="shared" ref="CC18:CC26" si="15">BI18-1</f>
        <v>1349</v>
      </c>
      <c r="CD18" s="95" t="s">
        <v>73</v>
      </c>
    </row>
    <row r="19" spans="1:82" s="108" customFormat="1" ht="16">
      <c r="A19" s="11" t="s">
        <v>68</v>
      </c>
      <c r="B19" s="11">
        <v>7</v>
      </c>
      <c r="C19" s="11">
        <v>1104</v>
      </c>
      <c r="D19">
        <v>120</v>
      </c>
      <c r="E19" t="s">
        <v>314</v>
      </c>
      <c r="F19" s="11">
        <v>2021</v>
      </c>
      <c r="G19" t="s">
        <v>315</v>
      </c>
      <c r="H19" s="22" t="s">
        <v>316</v>
      </c>
      <c r="I19">
        <v>2</v>
      </c>
      <c r="J19">
        <v>2018</v>
      </c>
      <c r="K19" s="10" t="s">
        <v>73</v>
      </c>
      <c r="L19">
        <v>296</v>
      </c>
      <c r="M19" t="s">
        <v>155</v>
      </c>
      <c r="N19" t="s">
        <v>112</v>
      </c>
      <c r="O19" t="s">
        <v>274</v>
      </c>
      <c r="P19" t="s">
        <v>221</v>
      </c>
      <c r="Q19" t="s">
        <v>275</v>
      </c>
      <c r="R19" t="s">
        <v>276</v>
      </c>
      <c r="S19">
        <v>0</v>
      </c>
      <c r="T19" t="s">
        <v>224</v>
      </c>
      <c r="U19">
        <v>1</v>
      </c>
      <c r="V19" s="18" t="s">
        <v>225</v>
      </c>
      <c r="W19" s="18" t="s">
        <v>225</v>
      </c>
      <c r="X19" s="18" t="s">
        <v>73</v>
      </c>
      <c r="Y19">
        <v>0</v>
      </c>
      <c r="Z19">
        <v>1</v>
      </c>
      <c r="AA19">
        <v>0</v>
      </c>
      <c r="AB19">
        <v>0</v>
      </c>
      <c r="AC19">
        <v>0</v>
      </c>
      <c r="AD19">
        <v>0</v>
      </c>
      <c r="AE19">
        <v>0</v>
      </c>
      <c r="AF19">
        <v>0</v>
      </c>
      <c r="AG19" t="s">
        <v>317</v>
      </c>
      <c r="AH19">
        <v>1</v>
      </c>
      <c r="AI19">
        <v>0</v>
      </c>
      <c r="AJ19">
        <v>0</v>
      </c>
      <c r="AK19">
        <v>0</v>
      </c>
      <c r="AL19">
        <v>0</v>
      </c>
      <c r="AM19">
        <v>0</v>
      </c>
      <c r="AN19" s="32">
        <v>0</v>
      </c>
      <c r="AO19">
        <v>0</v>
      </c>
      <c r="AP19">
        <v>0</v>
      </c>
      <c r="AQ19" t="s">
        <v>318</v>
      </c>
      <c r="AR19" t="s">
        <v>227</v>
      </c>
      <c r="AS19" t="s">
        <v>319</v>
      </c>
      <c r="AT19" t="s">
        <v>229</v>
      </c>
      <c r="AU19" s="21">
        <v>9.8500000000000004E-2</v>
      </c>
      <c r="AV19" s="7" t="s">
        <v>86</v>
      </c>
      <c r="AW19" s="158">
        <v>0.13600000000000001</v>
      </c>
      <c r="AX19">
        <v>0.1</v>
      </c>
      <c r="AY19">
        <v>2</v>
      </c>
      <c r="AZ19">
        <f t="shared" si="11"/>
        <v>0.72426470588235292</v>
      </c>
      <c r="BA19" s="107">
        <f t="shared" si="12"/>
        <v>9.8500000000000004E-2</v>
      </c>
      <c r="BB19" s="112">
        <f t="shared" si="13"/>
        <v>0.52460510947254324</v>
      </c>
      <c r="BC19" t="s">
        <v>73</v>
      </c>
      <c r="BD19" t="s">
        <v>73</v>
      </c>
      <c r="BE19" t="s">
        <v>73</v>
      </c>
      <c r="BF19" t="s">
        <v>73</v>
      </c>
      <c r="BG19" t="s">
        <v>73</v>
      </c>
      <c r="BH19" t="s">
        <v>73</v>
      </c>
      <c r="BI19">
        <v>1350</v>
      </c>
      <c r="BJ19">
        <v>1350</v>
      </c>
      <c r="BK19" t="s">
        <v>73</v>
      </c>
      <c r="BL19" t="s">
        <v>73</v>
      </c>
      <c r="BM19" t="s">
        <v>73</v>
      </c>
      <c r="BN19" t="s">
        <v>73</v>
      </c>
      <c r="BO19" t="s">
        <v>73</v>
      </c>
      <c r="BP19">
        <v>0</v>
      </c>
      <c r="BQ19" t="s">
        <v>73</v>
      </c>
      <c r="BR19">
        <v>1</v>
      </c>
      <c r="BS19" s="42" t="s">
        <v>73</v>
      </c>
      <c r="BT19" t="s">
        <v>73</v>
      </c>
      <c r="BU19">
        <v>0</v>
      </c>
      <c r="BV19">
        <v>0</v>
      </c>
      <c r="BW19">
        <v>1</v>
      </c>
      <c r="BX19" s="30">
        <f t="shared" si="14"/>
        <v>1.97081599806469E-2</v>
      </c>
      <c r="BY19" s="30">
        <f t="shared" si="3"/>
        <v>1.9710712201246074E-2</v>
      </c>
      <c r="BZ19" s="30">
        <f t="shared" si="4"/>
        <v>7.4128973243757566E-4</v>
      </c>
      <c r="CA19" s="30">
        <f t="shared" si="5"/>
        <v>7.4239049740163323E-4</v>
      </c>
      <c r="CB19" s="95" t="s">
        <v>73</v>
      </c>
      <c r="CC19">
        <f t="shared" si="15"/>
        <v>1349</v>
      </c>
      <c r="CD19" s="95" t="s">
        <v>73</v>
      </c>
    </row>
    <row r="20" spans="1:82" s="108" customFormat="1" ht="16">
      <c r="A20" s="11" t="s">
        <v>68</v>
      </c>
      <c r="B20" s="11">
        <v>7</v>
      </c>
      <c r="C20" s="11">
        <v>1106</v>
      </c>
      <c r="D20">
        <v>120</v>
      </c>
      <c r="E20" t="s">
        <v>314</v>
      </c>
      <c r="F20" s="11">
        <v>2021</v>
      </c>
      <c r="G20" t="s">
        <v>315</v>
      </c>
      <c r="H20" s="22" t="s">
        <v>316</v>
      </c>
      <c r="I20">
        <v>2</v>
      </c>
      <c r="J20">
        <v>2018</v>
      </c>
      <c r="K20" s="10" t="s">
        <v>73</v>
      </c>
      <c r="L20">
        <v>296</v>
      </c>
      <c r="M20" t="s">
        <v>155</v>
      </c>
      <c r="N20" t="s">
        <v>112</v>
      </c>
      <c r="O20" t="s">
        <v>274</v>
      </c>
      <c r="P20" t="s">
        <v>221</v>
      </c>
      <c r="Q20" t="s">
        <v>275</v>
      </c>
      <c r="R20" t="s">
        <v>276</v>
      </c>
      <c r="S20">
        <v>0</v>
      </c>
      <c r="T20" t="s">
        <v>224</v>
      </c>
      <c r="U20">
        <v>1</v>
      </c>
      <c r="V20" s="18" t="s">
        <v>225</v>
      </c>
      <c r="W20" s="18" t="s">
        <v>225</v>
      </c>
      <c r="X20" s="18" t="s">
        <v>73</v>
      </c>
      <c r="Y20">
        <v>0</v>
      </c>
      <c r="Z20">
        <v>0</v>
      </c>
      <c r="AA20">
        <v>1</v>
      </c>
      <c r="AB20">
        <v>0</v>
      </c>
      <c r="AC20">
        <v>0</v>
      </c>
      <c r="AD20">
        <v>0</v>
      </c>
      <c r="AE20">
        <v>0</v>
      </c>
      <c r="AF20">
        <v>0</v>
      </c>
      <c r="AG20" t="s">
        <v>317</v>
      </c>
      <c r="AH20">
        <v>0</v>
      </c>
      <c r="AI20">
        <v>0</v>
      </c>
      <c r="AJ20">
        <v>0</v>
      </c>
      <c r="AK20">
        <v>1</v>
      </c>
      <c r="AL20">
        <v>0</v>
      </c>
      <c r="AM20">
        <v>0</v>
      </c>
      <c r="AN20" s="32">
        <v>0</v>
      </c>
      <c r="AO20">
        <v>0</v>
      </c>
      <c r="AP20">
        <v>0</v>
      </c>
      <c r="AQ20" s="32" t="s">
        <v>318</v>
      </c>
      <c r="AR20" t="s">
        <v>227</v>
      </c>
      <c r="AS20" t="s">
        <v>319</v>
      </c>
      <c r="AT20" t="s">
        <v>229</v>
      </c>
      <c r="AU20" s="21">
        <v>9.98E-2</v>
      </c>
      <c r="AV20" s="7" t="s">
        <v>80</v>
      </c>
      <c r="AW20" s="158">
        <v>0.14899999999999999</v>
      </c>
      <c r="AX20">
        <v>0.1</v>
      </c>
      <c r="AY20">
        <v>2</v>
      </c>
      <c r="AZ20">
        <f t="shared" si="11"/>
        <v>0.66979865771812086</v>
      </c>
      <c r="BA20" s="107">
        <f t="shared" si="12"/>
        <v>9.98E-2</v>
      </c>
      <c r="BB20" s="112">
        <f t="shared" si="13"/>
        <v>0.52492931202189808</v>
      </c>
      <c r="BC20" t="s">
        <v>73</v>
      </c>
      <c r="BD20" t="s">
        <v>73</v>
      </c>
      <c r="BE20" t="s">
        <v>73</v>
      </c>
      <c r="BF20" t="s">
        <v>73</v>
      </c>
      <c r="BG20" t="s">
        <v>73</v>
      </c>
      <c r="BH20" t="s">
        <v>73</v>
      </c>
      <c r="BI20">
        <v>827</v>
      </c>
      <c r="BJ20">
        <v>827</v>
      </c>
      <c r="BK20" t="s">
        <v>73</v>
      </c>
      <c r="BL20" t="s">
        <v>73</v>
      </c>
      <c r="BM20" t="s">
        <v>73</v>
      </c>
      <c r="BN20" t="s">
        <v>73</v>
      </c>
      <c r="BO20" t="s">
        <v>73</v>
      </c>
      <c r="BP20">
        <v>1</v>
      </c>
      <c r="BQ20" t="s">
        <v>73</v>
      </c>
      <c r="BR20">
        <v>0</v>
      </c>
      <c r="BS20" t="s">
        <v>73</v>
      </c>
      <c r="BT20" t="s">
        <v>73</v>
      </c>
      <c r="BU20">
        <v>0</v>
      </c>
      <c r="BV20">
        <v>0</v>
      </c>
      <c r="BW20">
        <v>1</v>
      </c>
      <c r="BX20" s="30">
        <f t="shared" si="14"/>
        <v>2.3284866493189758E-2</v>
      </c>
      <c r="BY20" s="30">
        <f t="shared" si="3"/>
        <v>2.3289076097877604E-2</v>
      </c>
      <c r="BZ20" s="30">
        <f t="shared" si="4"/>
        <v>1.2106533968798787E-3</v>
      </c>
      <c r="CA20" s="30">
        <f t="shared" si="5"/>
        <v>1.2135922330097086E-3</v>
      </c>
      <c r="CB20" s="95" t="s">
        <v>73</v>
      </c>
      <c r="CC20">
        <f t="shared" si="15"/>
        <v>826</v>
      </c>
      <c r="CD20" s="95" t="s">
        <v>73</v>
      </c>
    </row>
    <row r="21" spans="1:82" ht="16">
      <c r="A21" s="11" t="s">
        <v>68</v>
      </c>
      <c r="B21" s="11">
        <v>7</v>
      </c>
      <c r="C21" s="11">
        <v>1111</v>
      </c>
      <c r="D21">
        <v>120</v>
      </c>
      <c r="E21" t="s">
        <v>314</v>
      </c>
      <c r="F21" s="11">
        <v>2021</v>
      </c>
      <c r="G21" t="s">
        <v>315</v>
      </c>
      <c r="H21" s="22" t="s">
        <v>316</v>
      </c>
      <c r="I21">
        <v>2</v>
      </c>
      <c r="J21">
        <v>2018</v>
      </c>
      <c r="K21" s="10" t="s">
        <v>73</v>
      </c>
      <c r="L21">
        <v>296</v>
      </c>
      <c r="M21" t="s">
        <v>155</v>
      </c>
      <c r="N21" t="s">
        <v>112</v>
      </c>
      <c r="O21" t="s">
        <v>274</v>
      </c>
      <c r="P21" t="s">
        <v>221</v>
      </c>
      <c r="Q21" t="s">
        <v>275</v>
      </c>
      <c r="R21" t="s">
        <v>276</v>
      </c>
      <c r="S21">
        <v>0</v>
      </c>
      <c r="T21" t="s">
        <v>224</v>
      </c>
      <c r="U21">
        <v>1</v>
      </c>
      <c r="V21" s="18" t="s">
        <v>225</v>
      </c>
      <c r="W21" s="18" t="s">
        <v>225</v>
      </c>
      <c r="X21" s="18" t="s">
        <v>73</v>
      </c>
      <c r="Y21">
        <v>0</v>
      </c>
      <c r="Z21">
        <v>1</v>
      </c>
      <c r="AA21">
        <v>1</v>
      </c>
      <c r="AB21">
        <v>0</v>
      </c>
      <c r="AC21">
        <v>0</v>
      </c>
      <c r="AD21">
        <v>0</v>
      </c>
      <c r="AE21">
        <v>0</v>
      </c>
      <c r="AF21">
        <v>0</v>
      </c>
      <c r="AG21" t="s">
        <v>317</v>
      </c>
      <c r="AH21">
        <v>0</v>
      </c>
      <c r="AI21">
        <v>0</v>
      </c>
      <c r="AJ21">
        <v>1</v>
      </c>
      <c r="AK21">
        <v>0</v>
      </c>
      <c r="AL21">
        <v>0</v>
      </c>
      <c r="AM21">
        <v>0</v>
      </c>
      <c r="AN21" s="32">
        <v>0</v>
      </c>
      <c r="AO21">
        <v>0</v>
      </c>
      <c r="AP21">
        <v>0</v>
      </c>
      <c r="AQ21" s="32" t="s">
        <v>318</v>
      </c>
      <c r="AR21" t="s">
        <v>227</v>
      </c>
      <c r="AS21" t="s">
        <v>319</v>
      </c>
      <c r="AT21" t="s">
        <v>229</v>
      </c>
      <c r="AU21" s="21">
        <v>0.21199999999999999</v>
      </c>
      <c r="AV21" s="7" t="s">
        <v>80</v>
      </c>
      <c r="AW21" s="158">
        <v>0.42499999999999999</v>
      </c>
      <c r="AX21">
        <v>0.1</v>
      </c>
      <c r="AY21">
        <v>2</v>
      </c>
      <c r="AZ21">
        <f t="shared" si="11"/>
        <v>0.49882352941176472</v>
      </c>
      <c r="BA21" s="107">
        <f t="shared" si="12"/>
        <v>0.21199999999999999</v>
      </c>
      <c r="BB21" s="112">
        <f t="shared" si="13"/>
        <v>0.55280238544469362</v>
      </c>
      <c r="BC21" t="s">
        <v>73</v>
      </c>
      <c r="BD21" t="s">
        <v>73</v>
      </c>
      <c r="BE21" t="s">
        <v>73</v>
      </c>
      <c r="BF21" t="s">
        <v>73</v>
      </c>
      <c r="BG21" t="s">
        <v>73</v>
      </c>
      <c r="BH21" t="s">
        <v>73</v>
      </c>
      <c r="BI21">
        <v>421</v>
      </c>
      <c r="BJ21">
        <v>421</v>
      </c>
      <c r="BK21" t="s">
        <v>73</v>
      </c>
      <c r="BL21" t="s">
        <v>73</v>
      </c>
      <c r="BM21" t="s">
        <v>73</v>
      </c>
      <c r="BN21" t="s">
        <v>73</v>
      </c>
      <c r="BO21" t="s">
        <v>73</v>
      </c>
      <c r="BP21">
        <v>1</v>
      </c>
      <c r="BQ21" t="s">
        <v>73</v>
      </c>
      <c r="BR21">
        <v>1</v>
      </c>
      <c r="BS21" s="42" t="s">
        <v>73</v>
      </c>
      <c r="BT21" t="s">
        <v>73</v>
      </c>
      <c r="BU21">
        <v>0</v>
      </c>
      <c r="BV21">
        <v>0</v>
      </c>
      <c r="BW21">
        <v>1</v>
      </c>
      <c r="BX21" s="30">
        <f t="shared" si="14"/>
        <v>2.4303990103568901E-2</v>
      </c>
      <c r="BY21" s="30">
        <f t="shared" si="3"/>
        <v>2.4308777125756856E-2</v>
      </c>
      <c r="BZ21" s="30">
        <f t="shared" si="4"/>
        <v>2.3809515495655199E-3</v>
      </c>
      <c r="CA21" s="30">
        <f t="shared" si="5"/>
        <v>2.3923444976076554E-3</v>
      </c>
      <c r="CB21" s="95" t="s">
        <v>73</v>
      </c>
      <c r="CC21">
        <f t="shared" si="15"/>
        <v>420</v>
      </c>
      <c r="CD21" s="95" t="s">
        <v>73</v>
      </c>
    </row>
    <row r="22" spans="1:82" ht="16">
      <c r="A22" s="11" t="s">
        <v>68</v>
      </c>
      <c r="B22" s="11">
        <v>7</v>
      </c>
      <c r="C22" s="11">
        <v>1110</v>
      </c>
      <c r="D22">
        <v>120</v>
      </c>
      <c r="E22" t="s">
        <v>314</v>
      </c>
      <c r="F22" s="11">
        <v>2021</v>
      </c>
      <c r="G22" t="s">
        <v>315</v>
      </c>
      <c r="H22" s="22" t="s">
        <v>316</v>
      </c>
      <c r="I22">
        <v>2</v>
      </c>
      <c r="J22">
        <v>2018</v>
      </c>
      <c r="K22" s="10" t="s">
        <v>73</v>
      </c>
      <c r="L22">
        <v>296</v>
      </c>
      <c r="M22" t="s">
        <v>155</v>
      </c>
      <c r="N22" t="s">
        <v>112</v>
      </c>
      <c r="O22" t="s">
        <v>274</v>
      </c>
      <c r="P22" t="s">
        <v>221</v>
      </c>
      <c r="Q22" t="s">
        <v>275</v>
      </c>
      <c r="R22" t="s">
        <v>276</v>
      </c>
      <c r="S22">
        <v>0</v>
      </c>
      <c r="T22" t="s">
        <v>224</v>
      </c>
      <c r="U22">
        <v>1</v>
      </c>
      <c r="V22" s="18" t="s">
        <v>225</v>
      </c>
      <c r="W22" s="18" t="s">
        <v>225</v>
      </c>
      <c r="X22" s="18" t="s">
        <v>73</v>
      </c>
      <c r="Y22">
        <v>0</v>
      </c>
      <c r="Z22">
        <v>1</v>
      </c>
      <c r="AA22">
        <v>0</v>
      </c>
      <c r="AB22">
        <v>0</v>
      </c>
      <c r="AC22">
        <v>0</v>
      </c>
      <c r="AD22">
        <v>0</v>
      </c>
      <c r="AE22">
        <v>0</v>
      </c>
      <c r="AF22">
        <v>0</v>
      </c>
      <c r="AG22" t="s">
        <v>317</v>
      </c>
      <c r="AH22">
        <v>0</v>
      </c>
      <c r="AI22">
        <v>0</v>
      </c>
      <c r="AJ22">
        <v>1</v>
      </c>
      <c r="AK22">
        <v>0</v>
      </c>
      <c r="AL22">
        <v>0</v>
      </c>
      <c r="AM22">
        <v>0</v>
      </c>
      <c r="AN22" s="32">
        <v>0</v>
      </c>
      <c r="AO22">
        <v>0</v>
      </c>
      <c r="AP22">
        <v>0</v>
      </c>
      <c r="AQ22" s="32" t="s">
        <v>318</v>
      </c>
      <c r="AR22" t="s">
        <v>227</v>
      </c>
      <c r="AS22" t="s">
        <v>319</v>
      </c>
      <c r="AT22" t="s">
        <v>229</v>
      </c>
      <c r="AU22" s="21">
        <v>0.33300000000000002</v>
      </c>
      <c r="AV22" s="7" t="s">
        <v>86</v>
      </c>
      <c r="AW22" s="158">
        <v>0.85399999999999998</v>
      </c>
      <c r="AX22">
        <v>0.1</v>
      </c>
      <c r="AY22">
        <v>2</v>
      </c>
      <c r="AZ22">
        <f t="shared" si="11"/>
        <v>0.38992974238875883</v>
      </c>
      <c r="BA22" s="107">
        <f t="shared" si="12"/>
        <v>0.33300000000000002</v>
      </c>
      <c r="BB22" s="112">
        <f t="shared" si="13"/>
        <v>0.58248914351160219</v>
      </c>
      <c r="BC22" t="s">
        <v>73</v>
      </c>
      <c r="BD22" t="s">
        <v>73</v>
      </c>
      <c r="BE22" t="s">
        <v>73</v>
      </c>
      <c r="BF22" t="s">
        <v>73</v>
      </c>
      <c r="BG22" t="s">
        <v>73</v>
      </c>
      <c r="BH22" t="s">
        <v>73</v>
      </c>
      <c r="BI22">
        <v>421</v>
      </c>
      <c r="BJ22">
        <v>421</v>
      </c>
      <c r="BK22" t="s">
        <v>73</v>
      </c>
      <c r="BL22" t="s">
        <v>73</v>
      </c>
      <c r="BM22" t="s">
        <v>73</v>
      </c>
      <c r="BN22" t="s">
        <v>73</v>
      </c>
      <c r="BO22" t="s">
        <v>73</v>
      </c>
      <c r="BP22">
        <v>0</v>
      </c>
      <c r="BQ22" t="s">
        <v>73</v>
      </c>
      <c r="BR22">
        <v>1</v>
      </c>
      <c r="BS22" s="42" t="s">
        <v>73</v>
      </c>
      <c r="BT22" t="s">
        <v>73</v>
      </c>
      <c r="BU22">
        <v>0</v>
      </c>
      <c r="BV22">
        <v>0</v>
      </c>
      <c r="BW22">
        <v>1</v>
      </c>
      <c r="BX22" s="30">
        <f t="shared" si="14"/>
        <v>1.9000582083692302E-2</v>
      </c>
      <c r="BY22" s="30">
        <f t="shared" si="3"/>
        <v>1.900286912258764E-2</v>
      </c>
      <c r="BZ22" s="30">
        <f t="shared" si="4"/>
        <v>2.380952070476821E-3</v>
      </c>
      <c r="CA22" s="30">
        <f t="shared" si="5"/>
        <v>2.3923444976076554E-3</v>
      </c>
      <c r="CB22" s="95" t="s">
        <v>73</v>
      </c>
      <c r="CC22">
        <f t="shared" si="15"/>
        <v>420</v>
      </c>
      <c r="CD22" s="95" t="s">
        <v>73</v>
      </c>
    </row>
    <row r="23" spans="1:82" ht="16">
      <c r="A23" s="11" t="s">
        <v>68</v>
      </c>
      <c r="B23" s="11">
        <v>7</v>
      </c>
      <c r="C23" s="11">
        <v>1108</v>
      </c>
      <c r="D23">
        <v>120</v>
      </c>
      <c r="E23" t="s">
        <v>314</v>
      </c>
      <c r="F23" s="11">
        <v>2021</v>
      </c>
      <c r="G23" t="s">
        <v>315</v>
      </c>
      <c r="H23" s="22" t="s">
        <v>316</v>
      </c>
      <c r="I23">
        <v>2</v>
      </c>
      <c r="J23">
        <v>2018</v>
      </c>
      <c r="K23" s="10" t="s">
        <v>73</v>
      </c>
      <c r="L23">
        <v>296</v>
      </c>
      <c r="M23" t="s">
        <v>155</v>
      </c>
      <c r="N23" t="s">
        <v>112</v>
      </c>
      <c r="O23" t="s">
        <v>274</v>
      </c>
      <c r="P23" t="s">
        <v>221</v>
      </c>
      <c r="Q23" t="s">
        <v>275</v>
      </c>
      <c r="R23" t="s">
        <v>276</v>
      </c>
      <c r="S23">
        <v>0</v>
      </c>
      <c r="T23" t="s">
        <v>224</v>
      </c>
      <c r="U23">
        <v>1</v>
      </c>
      <c r="V23" s="18" t="s">
        <v>225</v>
      </c>
      <c r="W23" s="18" t="s">
        <v>225</v>
      </c>
      <c r="X23" s="18" t="s">
        <v>73</v>
      </c>
      <c r="Y23">
        <v>0</v>
      </c>
      <c r="Z23">
        <v>1</v>
      </c>
      <c r="AA23">
        <v>1</v>
      </c>
      <c r="AB23">
        <v>0</v>
      </c>
      <c r="AC23">
        <v>0</v>
      </c>
      <c r="AD23">
        <v>0</v>
      </c>
      <c r="AE23">
        <v>0</v>
      </c>
      <c r="AF23">
        <v>0</v>
      </c>
      <c r="AG23" t="s">
        <v>317</v>
      </c>
      <c r="AH23">
        <v>0</v>
      </c>
      <c r="AI23">
        <v>0</v>
      </c>
      <c r="AJ23">
        <v>0</v>
      </c>
      <c r="AK23">
        <v>1</v>
      </c>
      <c r="AL23">
        <v>0</v>
      </c>
      <c r="AM23">
        <v>0</v>
      </c>
      <c r="AN23" s="32">
        <v>0</v>
      </c>
      <c r="AO23">
        <v>0</v>
      </c>
      <c r="AP23">
        <v>0</v>
      </c>
      <c r="AQ23" s="32" t="s">
        <v>318</v>
      </c>
      <c r="AR23" t="s">
        <v>227</v>
      </c>
      <c r="AS23" t="s">
        <v>319</v>
      </c>
      <c r="AT23" t="s">
        <v>229</v>
      </c>
      <c r="AU23" s="21">
        <v>0.371</v>
      </c>
      <c r="AV23" s="7" t="s">
        <v>80</v>
      </c>
      <c r="AW23" s="158">
        <v>0.20799999999999999</v>
      </c>
      <c r="AX23">
        <v>0.1</v>
      </c>
      <c r="AY23">
        <v>1</v>
      </c>
      <c r="AZ23">
        <f t="shared" si="11"/>
        <v>1.7836538461538463</v>
      </c>
      <c r="BA23" s="107">
        <f t="shared" si="12"/>
        <v>0.371</v>
      </c>
      <c r="BB23" s="112">
        <f t="shared" si="13"/>
        <v>0.59170059157021893</v>
      </c>
      <c r="BC23" t="s">
        <v>73</v>
      </c>
      <c r="BD23" t="s">
        <v>73</v>
      </c>
      <c r="BE23" t="s">
        <v>73</v>
      </c>
      <c r="BF23" t="s">
        <v>73</v>
      </c>
      <c r="BG23" t="s">
        <v>73</v>
      </c>
      <c r="BH23" t="s">
        <v>73</v>
      </c>
      <c r="BI23">
        <v>827</v>
      </c>
      <c r="BJ23">
        <v>827</v>
      </c>
      <c r="BK23" t="s">
        <v>73</v>
      </c>
      <c r="BL23" t="s">
        <v>73</v>
      </c>
      <c r="BM23" t="s">
        <v>73</v>
      </c>
      <c r="BN23" t="s">
        <v>73</v>
      </c>
      <c r="BO23" t="s">
        <v>73</v>
      </c>
      <c r="BP23">
        <v>1</v>
      </c>
      <c r="BQ23" t="s">
        <v>73</v>
      </c>
      <c r="BR23">
        <v>1</v>
      </c>
      <c r="BS23" s="42" t="s">
        <v>73</v>
      </c>
      <c r="BT23" t="s">
        <v>73</v>
      </c>
      <c r="BU23">
        <v>0</v>
      </c>
      <c r="BV23">
        <v>0</v>
      </c>
      <c r="BW23">
        <v>1</v>
      </c>
      <c r="BX23" s="30">
        <f t="shared" si="14"/>
        <v>6.1904763633413101E-2</v>
      </c>
      <c r="BY23" s="30">
        <f t="shared" si="3"/>
        <v>6.1984023096366379E-2</v>
      </c>
      <c r="BZ23" s="30">
        <f t="shared" si="4"/>
        <v>1.2106358824323096E-3</v>
      </c>
      <c r="CA23" s="30">
        <f t="shared" si="5"/>
        <v>1.2135922330097086E-3</v>
      </c>
      <c r="CB23" s="95" t="s">
        <v>73</v>
      </c>
      <c r="CC23">
        <f t="shared" si="15"/>
        <v>826</v>
      </c>
      <c r="CD23" s="95" t="s">
        <v>73</v>
      </c>
    </row>
    <row r="24" spans="1:82" s="122" customFormat="1" ht="16">
      <c r="A24" s="11" t="s">
        <v>68</v>
      </c>
      <c r="B24" s="11">
        <v>7</v>
      </c>
      <c r="C24" s="11">
        <v>1107</v>
      </c>
      <c r="D24">
        <v>120</v>
      </c>
      <c r="E24" t="s">
        <v>314</v>
      </c>
      <c r="F24" s="11">
        <v>2021</v>
      </c>
      <c r="G24" t="s">
        <v>315</v>
      </c>
      <c r="H24" s="22" t="s">
        <v>316</v>
      </c>
      <c r="I24">
        <v>2</v>
      </c>
      <c r="J24">
        <v>2018</v>
      </c>
      <c r="K24" s="10" t="s">
        <v>73</v>
      </c>
      <c r="L24">
        <v>296</v>
      </c>
      <c r="M24" t="s">
        <v>155</v>
      </c>
      <c r="N24" t="s">
        <v>112</v>
      </c>
      <c r="O24" t="s">
        <v>274</v>
      </c>
      <c r="P24" t="s">
        <v>221</v>
      </c>
      <c r="Q24" t="s">
        <v>275</v>
      </c>
      <c r="R24" t="s">
        <v>276</v>
      </c>
      <c r="S24">
        <v>0</v>
      </c>
      <c r="T24" t="s">
        <v>224</v>
      </c>
      <c r="U24">
        <v>1</v>
      </c>
      <c r="V24" s="18" t="s">
        <v>225</v>
      </c>
      <c r="W24" s="18" t="s">
        <v>225</v>
      </c>
      <c r="X24" s="18" t="s">
        <v>73</v>
      </c>
      <c r="Y24">
        <v>0</v>
      </c>
      <c r="Z24">
        <v>1</v>
      </c>
      <c r="AA24">
        <v>0</v>
      </c>
      <c r="AB24">
        <v>0</v>
      </c>
      <c r="AC24">
        <v>0</v>
      </c>
      <c r="AD24">
        <v>0</v>
      </c>
      <c r="AE24">
        <v>0</v>
      </c>
      <c r="AF24">
        <v>0</v>
      </c>
      <c r="AG24" t="s">
        <v>317</v>
      </c>
      <c r="AH24">
        <v>0</v>
      </c>
      <c r="AI24">
        <v>0</v>
      </c>
      <c r="AJ24">
        <v>0</v>
      </c>
      <c r="AK24">
        <v>1</v>
      </c>
      <c r="AL24">
        <v>0</v>
      </c>
      <c r="AM24">
        <v>0</v>
      </c>
      <c r="AN24" s="32">
        <v>0</v>
      </c>
      <c r="AO24">
        <v>0</v>
      </c>
      <c r="AP24">
        <v>0</v>
      </c>
      <c r="AQ24" s="32" t="s">
        <v>318</v>
      </c>
      <c r="AR24" t="s">
        <v>227</v>
      </c>
      <c r="AS24" t="s">
        <v>319</v>
      </c>
      <c r="AT24" t="s">
        <v>229</v>
      </c>
      <c r="AU24" s="21">
        <v>0.48599999999999999</v>
      </c>
      <c r="AV24" s="7" t="s">
        <v>80</v>
      </c>
      <c r="AW24" s="158">
        <v>0.20399999999999999</v>
      </c>
      <c r="AX24">
        <v>0.05</v>
      </c>
      <c r="AY24">
        <v>1</v>
      </c>
      <c r="AZ24">
        <f t="shared" si="11"/>
        <v>2.3823529411764706</v>
      </c>
      <c r="BA24" s="107">
        <f t="shared" si="12"/>
        <v>0.48599999999999999</v>
      </c>
      <c r="BB24" s="112">
        <f t="shared" si="13"/>
        <v>0.61916368289936063</v>
      </c>
      <c r="BC24" t="s">
        <v>73</v>
      </c>
      <c r="BD24" t="s">
        <v>73</v>
      </c>
      <c r="BE24" t="s">
        <v>73</v>
      </c>
      <c r="BF24" t="s">
        <v>73</v>
      </c>
      <c r="BG24" t="s">
        <v>73</v>
      </c>
      <c r="BH24" t="s">
        <v>73</v>
      </c>
      <c r="BI24">
        <v>827</v>
      </c>
      <c r="BJ24">
        <v>827</v>
      </c>
      <c r="BK24" t="s">
        <v>73</v>
      </c>
      <c r="BL24" t="s">
        <v>73</v>
      </c>
      <c r="BM24" t="s">
        <v>73</v>
      </c>
      <c r="BN24" t="s">
        <v>73</v>
      </c>
      <c r="BO24" t="s">
        <v>73</v>
      </c>
      <c r="BP24">
        <v>0</v>
      </c>
      <c r="BQ24" t="s">
        <v>73</v>
      </c>
      <c r="BR24">
        <v>1</v>
      </c>
      <c r="BS24" s="42" t="s">
        <v>73</v>
      </c>
      <c r="BT24" t="s">
        <v>73</v>
      </c>
      <c r="BU24">
        <v>0</v>
      </c>
      <c r="BV24">
        <v>0</v>
      </c>
      <c r="BW24">
        <v>1</v>
      </c>
      <c r="BX24" s="30">
        <f t="shared" si="14"/>
        <v>8.2559714236340495E-2</v>
      </c>
      <c r="BY24" s="30">
        <f t="shared" si="3"/>
        <v>8.2748063723839957E-2</v>
      </c>
      <c r="BZ24" s="30">
        <f t="shared" si="4"/>
        <v>1.2105969918599373E-3</v>
      </c>
      <c r="CA24" s="30">
        <f t="shared" si="5"/>
        <v>1.2135922330097086E-3</v>
      </c>
      <c r="CB24" s="95" t="s">
        <v>73</v>
      </c>
      <c r="CC24">
        <f t="shared" si="15"/>
        <v>826</v>
      </c>
      <c r="CD24" s="95" t="s">
        <v>73</v>
      </c>
    </row>
    <row r="25" spans="1:82" s="122" customFormat="1" ht="16">
      <c r="A25" s="11" t="s">
        <v>68</v>
      </c>
      <c r="B25" s="11">
        <v>7</v>
      </c>
      <c r="C25" s="11">
        <v>1105</v>
      </c>
      <c r="D25">
        <v>120</v>
      </c>
      <c r="E25" t="s">
        <v>314</v>
      </c>
      <c r="F25" s="11">
        <v>2021</v>
      </c>
      <c r="G25" t="s">
        <v>315</v>
      </c>
      <c r="H25" s="22" t="s">
        <v>316</v>
      </c>
      <c r="I25">
        <v>2</v>
      </c>
      <c r="J25">
        <v>2018</v>
      </c>
      <c r="K25" s="10" t="s">
        <v>73</v>
      </c>
      <c r="L25">
        <v>296</v>
      </c>
      <c r="M25" t="s">
        <v>155</v>
      </c>
      <c r="N25" t="s">
        <v>112</v>
      </c>
      <c r="O25" t="s">
        <v>274</v>
      </c>
      <c r="P25" t="s">
        <v>221</v>
      </c>
      <c r="Q25" t="s">
        <v>275</v>
      </c>
      <c r="R25" t="s">
        <v>276</v>
      </c>
      <c r="S25">
        <v>0</v>
      </c>
      <c r="T25" t="s">
        <v>224</v>
      </c>
      <c r="U25">
        <v>1</v>
      </c>
      <c r="V25" s="18" t="s">
        <v>225</v>
      </c>
      <c r="W25" s="18" t="s">
        <v>225</v>
      </c>
      <c r="X25" s="18" t="s">
        <v>73</v>
      </c>
      <c r="Y25">
        <v>0</v>
      </c>
      <c r="Z25">
        <v>1</v>
      </c>
      <c r="AA25">
        <v>1</v>
      </c>
      <c r="AB25">
        <v>0</v>
      </c>
      <c r="AC25">
        <v>0</v>
      </c>
      <c r="AD25">
        <v>0</v>
      </c>
      <c r="AE25">
        <v>0</v>
      </c>
      <c r="AF25">
        <v>0</v>
      </c>
      <c r="AG25" t="s">
        <v>317</v>
      </c>
      <c r="AH25">
        <v>1</v>
      </c>
      <c r="AI25">
        <v>0</v>
      </c>
      <c r="AJ25">
        <v>0</v>
      </c>
      <c r="AK25">
        <v>0</v>
      </c>
      <c r="AL25">
        <v>0</v>
      </c>
      <c r="AM25">
        <v>0</v>
      </c>
      <c r="AN25" s="32">
        <v>0</v>
      </c>
      <c r="AO25">
        <v>0</v>
      </c>
      <c r="AP25">
        <v>0</v>
      </c>
      <c r="AQ25" t="s">
        <v>318</v>
      </c>
      <c r="AR25" t="s">
        <v>227</v>
      </c>
      <c r="AS25" t="s">
        <v>319</v>
      </c>
      <c r="AT25" t="s">
        <v>229</v>
      </c>
      <c r="AU25" s="21">
        <v>0.48899999999999999</v>
      </c>
      <c r="AV25" s="7" t="s">
        <v>86</v>
      </c>
      <c r="AW25" s="158">
        <v>0.30299999999999999</v>
      </c>
      <c r="AX25">
        <v>0.1</v>
      </c>
      <c r="AY25">
        <v>2</v>
      </c>
      <c r="AZ25">
        <f t="shared" si="11"/>
        <v>1.613861386138614</v>
      </c>
      <c r="BA25" s="107">
        <f t="shared" si="12"/>
        <v>0.48899999999999999</v>
      </c>
      <c r="BB25" s="112">
        <f t="shared" si="13"/>
        <v>0.6198708296204114</v>
      </c>
      <c r="BC25" t="s">
        <v>73</v>
      </c>
      <c r="BD25" t="s">
        <v>73</v>
      </c>
      <c r="BE25" t="s">
        <v>73</v>
      </c>
      <c r="BF25" t="s">
        <v>73</v>
      </c>
      <c r="BG25" t="s">
        <v>73</v>
      </c>
      <c r="BH25" t="s">
        <v>73</v>
      </c>
      <c r="BI25">
        <v>1350</v>
      </c>
      <c r="BJ25">
        <v>1350</v>
      </c>
      <c r="BK25" t="s">
        <v>73</v>
      </c>
      <c r="BL25" t="s">
        <v>73</v>
      </c>
      <c r="BM25" t="s">
        <v>73</v>
      </c>
      <c r="BN25" t="s">
        <v>73</v>
      </c>
      <c r="BO25" t="s">
        <v>73</v>
      </c>
      <c r="BP25">
        <v>1</v>
      </c>
      <c r="BQ25" t="s">
        <v>73</v>
      </c>
      <c r="BR25">
        <v>1</v>
      </c>
      <c r="BS25" s="42" t="s">
        <v>73</v>
      </c>
      <c r="BT25" t="s">
        <v>73</v>
      </c>
      <c r="BU25">
        <v>0</v>
      </c>
      <c r="BV25">
        <v>0</v>
      </c>
      <c r="BW25">
        <v>1</v>
      </c>
      <c r="BX25" s="30">
        <f t="shared" si="14"/>
        <v>4.3881433738989228E-2</v>
      </c>
      <c r="BY25" s="30">
        <f t="shared" si="3"/>
        <v>4.3909632065429631E-2</v>
      </c>
      <c r="BZ25" s="30">
        <f t="shared" si="4"/>
        <v>7.4128708865891613E-4</v>
      </c>
      <c r="CA25" s="30">
        <f t="shared" si="5"/>
        <v>7.4239049740163323E-4</v>
      </c>
      <c r="CB25" s="95" t="s">
        <v>73</v>
      </c>
      <c r="CC25">
        <f t="shared" si="15"/>
        <v>1349</v>
      </c>
      <c r="CD25" s="95" t="s">
        <v>73</v>
      </c>
    </row>
    <row r="26" spans="1:82" s="122" customFormat="1" ht="16">
      <c r="A26" s="11" t="s">
        <v>68</v>
      </c>
      <c r="B26" s="11">
        <v>7</v>
      </c>
      <c r="C26" s="11">
        <v>1109</v>
      </c>
      <c r="D26">
        <v>120</v>
      </c>
      <c r="E26" t="s">
        <v>314</v>
      </c>
      <c r="F26" s="11">
        <v>2021</v>
      </c>
      <c r="G26" t="s">
        <v>315</v>
      </c>
      <c r="H26" s="22" t="s">
        <v>316</v>
      </c>
      <c r="I26">
        <v>2</v>
      </c>
      <c r="J26">
        <v>2018</v>
      </c>
      <c r="K26" s="10" t="s">
        <v>73</v>
      </c>
      <c r="L26">
        <v>296</v>
      </c>
      <c r="M26" t="s">
        <v>155</v>
      </c>
      <c r="N26" t="s">
        <v>112</v>
      </c>
      <c r="O26" t="s">
        <v>274</v>
      </c>
      <c r="P26" t="s">
        <v>221</v>
      </c>
      <c r="Q26" t="s">
        <v>275</v>
      </c>
      <c r="R26" t="s">
        <v>276</v>
      </c>
      <c r="S26">
        <v>0</v>
      </c>
      <c r="T26" t="s">
        <v>224</v>
      </c>
      <c r="U26">
        <v>1</v>
      </c>
      <c r="V26" s="18" t="s">
        <v>225</v>
      </c>
      <c r="W26" s="18" t="s">
        <v>225</v>
      </c>
      <c r="X26" s="18" t="s">
        <v>73</v>
      </c>
      <c r="Y26">
        <v>0</v>
      </c>
      <c r="Z26">
        <v>0</v>
      </c>
      <c r="AA26">
        <v>1</v>
      </c>
      <c r="AB26">
        <v>0</v>
      </c>
      <c r="AC26">
        <v>0</v>
      </c>
      <c r="AD26">
        <v>0</v>
      </c>
      <c r="AE26">
        <v>0</v>
      </c>
      <c r="AF26">
        <v>0</v>
      </c>
      <c r="AG26" t="s">
        <v>317</v>
      </c>
      <c r="AH26">
        <v>0</v>
      </c>
      <c r="AI26">
        <v>0</v>
      </c>
      <c r="AJ26">
        <v>1</v>
      </c>
      <c r="AK26">
        <v>0</v>
      </c>
      <c r="AL26">
        <v>0</v>
      </c>
      <c r="AM26">
        <v>0</v>
      </c>
      <c r="AN26" s="32">
        <v>0</v>
      </c>
      <c r="AO26">
        <v>0</v>
      </c>
      <c r="AP26">
        <v>0</v>
      </c>
      <c r="AQ26" s="32" t="s">
        <v>318</v>
      </c>
      <c r="AR26" t="s">
        <v>227</v>
      </c>
      <c r="AS26" t="s">
        <v>319</v>
      </c>
      <c r="AT26" t="s">
        <v>229</v>
      </c>
      <c r="AU26" s="21">
        <v>0.65100000000000002</v>
      </c>
      <c r="AV26" s="7" t="s">
        <v>86</v>
      </c>
      <c r="AW26" s="158">
        <v>0.57399999999999995</v>
      </c>
      <c r="AX26">
        <v>0.1</v>
      </c>
      <c r="AY26">
        <v>2</v>
      </c>
      <c r="AZ26">
        <f t="shared" si="11"/>
        <v>1.1341463414634148</v>
      </c>
      <c r="BA26" s="107">
        <f t="shared" si="12"/>
        <v>0.65100000000000002</v>
      </c>
      <c r="BB26" s="112">
        <f t="shared" si="13"/>
        <v>0.65723577499294228</v>
      </c>
      <c r="BC26" t="s">
        <v>73</v>
      </c>
      <c r="BD26" t="s">
        <v>73</v>
      </c>
      <c r="BE26" t="s">
        <v>73</v>
      </c>
      <c r="BF26" t="s">
        <v>73</v>
      </c>
      <c r="BG26" t="s">
        <v>73</v>
      </c>
      <c r="BH26" t="s">
        <v>73</v>
      </c>
      <c r="BI26">
        <v>421</v>
      </c>
      <c r="BJ26">
        <v>421</v>
      </c>
      <c r="BK26" t="s">
        <v>73</v>
      </c>
      <c r="BL26" t="s">
        <v>73</v>
      </c>
      <c r="BM26" t="s">
        <v>73</v>
      </c>
      <c r="BN26" t="s">
        <v>73</v>
      </c>
      <c r="BO26" t="s">
        <v>73</v>
      </c>
      <c r="BP26">
        <v>1</v>
      </c>
      <c r="BQ26" t="s">
        <v>73</v>
      </c>
      <c r="BR26">
        <v>0</v>
      </c>
      <c r="BS26" t="s">
        <v>73</v>
      </c>
      <c r="BT26" t="s">
        <v>73</v>
      </c>
      <c r="BU26">
        <v>0</v>
      </c>
      <c r="BV26">
        <v>0</v>
      </c>
      <c r="BW26">
        <v>1</v>
      </c>
      <c r="BX26" s="30">
        <f t="shared" si="14"/>
        <v>5.5190662378218035E-2</v>
      </c>
      <c r="BY26" s="30">
        <f t="shared" si="3"/>
        <v>5.5246802103969622E-2</v>
      </c>
      <c r="BZ26" s="30">
        <f t="shared" si="4"/>
        <v>2.3809302000460694E-3</v>
      </c>
      <c r="CA26" s="30">
        <f t="shared" si="5"/>
        <v>2.3923444976076554E-3</v>
      </c>
      <c r="CB26" s="95" t="s">
        <v>73</v>
      </c>
      <c r="CC26">
        <f t="shared" si="15"/>
        <v>420</v>
      </c>
      <c r="CD26" s="95" t="s">
        <v>73</v>
      </c>
    </row>
    <row r="27" spans="1:82" s="122" customFormat="1" ht="16">
      <c r="A27" s="115" t="s">
        <v>68</v>
      </c>
      <c r="B27" s="115">
        <v>8</v>
      </c>
      <c r="C27" s="115">
        <v>1157</v>
      </c>
      <c r="D27" s="159">
        <v>136</v>
      </c>
      <c r="E27" t="s">
        <v>388</v>
      </c>
      <c r="F27" s="115">
        <v>2010</v>
      </c>
      <c r="G27" t="s">
        <v>389</v>
      </c>
      <c r="H27" t="s">
        <v>390</v>
      </c>
      <c r="I27" s="159">
        <v>2</v>
      </c>
      <c r="J27">
        <v>2006</v>
      </c>
      <c r="K27" s="115" t="s">
        <v>73</v>
      </c>
      <c r="L27" s="159">
        <v>313</v>
      </c>
      <c r="M27" t="s">
        <v>391</v>
      </c>
      <c r="N27" t="s">
        <v>259</v>
      </c>
      <c r="O27" t="s">
        <v>148</v>
      </c>
      <c r="P27" t="s">
        <v>269</v>
      </c>
      <c r="Q27" t="s">
        <v>260</v>
      </c>
      <c r="R27" t="s">
        <v>270</v>
      </c>
      <c r="S27">
        <v>0</v>
      </c>
      <c r="T27" t="s">
        <v>324</v>
      </c>
      <c r="U27">
        <v>1</v>
      </c>
      <c r="V27" s="115" t="s">
        <v>225</v>
      </c>
      <c r="W27" s="115" t="s">
        <v>225</v>
      </c>
      <c r="X27" s="115" t="s">
        <v>73</v>
      </c>
      <c r="Y27" s="159">
        <v>0</v>
      </c>
      <c r="Z27" s="159">
        <v>1</v>
      </c>
      <c r="AA27" s="159">
        <v>0</v>
      </c>
      <c r="AB27" s="159">
        <v>0</v>
      </c>
      <c r="AC27" s="159">
        <v>0</v>
      </c>
      <c r="AD27" s="159">
        <v>0</v>
      </c>
      <c r="AE27" s="159">
        <v>0</v>
      </c>
      <c r="AF27" s="159">
        <v>0</v>
      </c>
      <c r="AG27" s="159" t="s">
        <v>392</v>
      </c>
      <c r="AH27" s="159">
        <v>0</v>
      </c>
      <c r="AI27" s="159">
        <v>0</v>
      </c>
      <c r="AJ27" s="159">
        <v>0</v>
      </c>
      <c r="AK27" s="159">
        <v>1</v>
      </c>
      <c r="AL27" s="159">
        <v>0</v>
      </c>
      <c r="AM27" s="159">
        <v>0</v>
      </c>
      <c r="AN27" s="159">
        <v>0</v>
      </c>
      <c r="AO27" s="159">
        <v>0</v>
      </c>
      <c r="AP27" s="159">
        <v>0</v>
      </c>
      <c r="AQ27" t="s">
        <v>393</v>
      </c>
      <c r="AR27" t="s">
        <v>227</v>
      </c>
      <c r="AS27" t="s">
        <v>394</v>
      </c>
      <c r="AT27" t="s">
        <v>273</v>
      </c>
      <c r="AU27" s="7">
        <v>0.19</v>
      </c>
      <c r="AV27" s="7" t="s">
        <v>86</v>
      </c>
      <c r="AW27">
        <f>AU27/AZ27</f>
        <v>7.8512396694214878E-2</v>
      </c>
      <c r="AX27">
        <v>1.4999999999999999E-2</v>
      </c>
      <c r="AY27">
        <v>3</v>
      </c>
      <c r="AZ27">
        <v>2.42</v>
      </c>
      <c r="BA27" s="160">
        <f t="shared" ref="BA27:BA55" si="16">EXP(AU27)-1</f>
        <v>0.20924959765725148</v>
      </c>
      <c r="BB27" s="99">
        <f t="shared" si="13"/>
        <v>0.54735761814308925</v>
      </c>
      <c r="BC27" t="s">
        <v>73</v>
      </c>
      <c r="BD27" t="s">
        <v>73</v>
      </c>
      <c r="BE27" t="s">
        <v>73</v>
      </c>
      <c r="BF27" t="s">
        <v>73</v>
      </c>
      <c r="BG27" t="s">
        <v>73</v>
      </c>
      <c r="BH27" t="s">
        <v>73</v>
      </c>
      <c r="BI27" s="109">
        <v>2910</v>
      </c>
      <c r="BJ27" s="159">
        <v>2910</v>
      </c>
      <c r="BK27" s="159" t="s">
        <v>73</v>
      </c>
      <c r="BL27" s="159" t="s">
        <v>73</v>
      </c>
      <c r="BM27" s="159" t="s">
        <v>73</v>
      </c>
      <c r="BN27" s="159" t="s">
        <v>73</v>
      </c>
      <c r="BO27" s="159" t="s">
        <v>73</v>
      </c>
      <c r="BP27" s="159" t="s">
        <v>73</v>
      </c>
      <c r="BQ27" s="159" t="s">
        <v>73</v>
      </c>
      <c r="BR27" s="159" t="s">
        <v>73</v>
      </c>
      <c r="BS27" s="159" t="s">
        <v>73</v>
      </c>
      <c r="BT27" s="159" t="s">
        <v>73</v>
      </c>
      <c r="BU27" s="159">
        <v>0</v>
      </c>
      <c r="BV27" s="159">
        <v>0</v>
      </c>
      <c r="BW27" s="159">
        <v>0</v>
      </c>
      <c r="BX27" s="30">
        <f t="shared" si="14"/>
        <v>4.4815918320490998E-2</v>
      </c>
      <c r="BY27" s="30">
        <f t="shared" si="3"/>
        <v>4.4845958286761807E-2</v>
      </c>
      <c r="BZ27" s="30">
        <f t="shared" si="4"/>
        <v>3.4375935209197533E-4</v>
      </c>
      <c r="CA27" s="30">
        <f t="shared" si="5"/>
        <v>3.4399724802201581E-4</v>
      </c>
      <c r="CB27" s="95" t="s">
        <v>73</v>
      </c>
      <c r="CC27">
        <f t="shared" ref="CC27:CC59" si="17">BI27-2</f>
        <v>2908</v>
      </c>
      <c r="CD27" s="95" t="s">
        <v>73</v>
      </c>
    </row>
    <row r="28" spans="1:82" s="122" customFormat="1" ht="16">
      <c r="A28" s="115" t="s">
        <v>68</v>
      </c>
      <c r="B28" s="115">
        <v>8</v>
      </c>
      <c r="C28" s="115">
        <v>1158</v>
      </c>
      <c r="D28" s="159">
        <v>136</v>
      </c>
      <c r="E28" t="s">
        <v>388</v>
      </c>
      <c r="F28" s="115">
        <v>2010</v>
      </c>
      <c r="G28" t="s">
        <v>389</v>
      </c>
      <c r="H28" t="s">
        <v>390</v>
      </c>
      <c r="I28" s="159">
        <v>2</v>
      </c>
      <c r="J28">
        <v>2006</v>
      </c>
      <c r="K28" s="115" t="s">
        <v>73</v>
      </c>
      <c r="L28" s="159">
        <v>313</v>
      </c>
      <c r="M28" t="s">
        <v>391</v>
      </c>
      <c r="N28" t="s">
        <v>259</v>
      </c>
      <c r="O28" t="s">
        <v>148</v>
      </c>
      <c r="P28" t="s">
        <v>269</v>
      </c>
      <c r="Q28" t="s">
        <v>260</v>
      </c>
      <c r="R28" t="s">
        <v>270</v>
      </c>
      <c r="S28">
        <v>0</v>
      </c>
      <c r="T28" t="s">
        <v>324</v>
      </c>
      <c r="U28">
        <v>1</v>
      </c>
      <c r="V28" s="115" t="s">
        <v>225</v>
      </c>
      <c r="W28" s="115" t="s">
        <v>396</v>
      </c>
      <c r="X28" s="115" t="s">
        <v>73</v>
      </c>
      <c r="Y28" s="159">
        <v>0</v>
      </c>
      <c r="Z28" s="159">
        <v>1</v>
      </c>
      <c r="AA28" s="159">
        <v>0</v>
      </c>
      <c r="AB28" s="159">
        <v>0</v>
      </c>
      <c r="AC28" s="159">
        <v>0</v>
      </c>
      <c r="AD28" s="159">
        <v>0</v>
      </c>
      <c r="AE28" s="159">
        <v>0</v>
      </c>
      <c r="AF28" s="159">
        <v>0</v>
      </c>
      <c r="AG28" s="159" t="s">
        <v>392</v>
      </c>
      <c r="AH28" s="159">
        <v>0</v>
      </c>
      <c r="AI28" s="159">
        <v>0</v>
      </c>
      <c r="AJ28" s="159">
        <v>0</v>
      </c>
      <c r="AK28" s="159">
        <v>1</v>
      </c>
      <c r="AL28" s="159">
        <v>0</v>
      </c>
      <c r="AM28" s="159">
        <v>0</v>
      </c>
      <c r="AN28" s="159">
        <v>0</v>
      </c>
      <c r="AO28" s="159">
        <v>0</v>
      </c>
      <c r="AP28" s="159">
        <v>0</v>
      </c>
      <c r="AQ28" t="s">
        <v>393</v>
      </c>
      <c r="AR28" t="s">
        <v>227</v>
      </c>
      <c r="AS28" t="s">
        <v>394</v>
      </c>
      <c r="AT28" t="s">
        <v>273</v>
      </c>
      <c r="AU28" s="7">
        <v>0.21</v>
      </c>
      <c r="AV28" s="7" t="s">
        <v>86</v>
      </c>
      <c r="AW28">
        <f>AU28/AZ28</f>
        <v>7.6363636363636356E-2</v>
      </c>
      <c r="AX28">
        <v>6.0000000000000001E-3</v>
      </c>
      <c r="AY28">
        <v>3</v>
      </c>
      <c r="AZ28">
        <v>2.75</v>
      </c>
      <c r="BA28" s="160">
        <f t="shared" si="16"/>
        <v>0.23367805995674318</v>
      </c>
      <c r="BB28" s="99">
        <f t="shared" si="13"/>
        <v>0.5523079095743253</v>
      </c>
      <c r="BC28" t="s">
        <v>73</v>
      </c>
      <c r="BD28" t="s">
        <v>73</v>
      </c>
      <c r="BE28" t="s">
        <v>73</v>
      </c>
      <c r="BF28" t="s">
        <v>73</v>
      </c>
      <c r="BG28" t="s">
        <v>73</v>
      </c>
      <c r="BH28" t="s">
        <v>73</v>
      </c>
      <c r="BI28" s="109">
        <v>2910</v>
      </c>
      <c r="BJ28" s="159">
        <v>2910</v>
      </c>
      <c r="BK28" s="159" t="s">
        <v>73</v>
      </c>
      <c r="BL28" s="159" t="s">
        <v>73</v>
      </c>
      <c r="BM28" s="159" t="s">
        <v>73</v>
      </c>
      <c r="BN28" s="159" t="s">
        <v>73</v>
      </c>
      <c r="BO28" s="159" t="s">
        <v>73</v>
      </c>
      <c r="BP28" s="159" t="s">
        <v>73</v>
      </c>
      <c r="BQ28" s="159" t="s">
        <v>73</v>
      </c>
      <c r="BR28" s="159" t="s">
        <v>73</v>
      </c>
      <c r="BS28" s="159" t="s">
        <v>73</v>
      </c>
      <c r="BT28" s="159" t="s">
        <v>73</v>
      </c>
      <c r="BU28" s="159">
        <v>0</v>
      </c>
      <c r="BV28" s="159">
        <v>0</v>
      </c>
      <c r="BW28" s="159">
        <v>0</v>
      </c>
      <c r="BX28" s="30">
        <f t="shared" si="14"/>
        <v>5.0912287415050349E-2</v>
      </c>
      <c r="BY28" s="30">
        <f t="shared" si="3"/>
        <v>5.0956345207376796E-2</v>
      </c>
      <c r="BZ28" s="30">
        <f t="shared" si="4"/>
        <v>3.4375842486513699E-4</v>
      </c>
      <c r="CA28" s="30">
        <f t="shared" si="5"/>
        <v>3.4399724802201581E-4</v>
      </c>
      <c r="CB28" s="95" t="s">
        <v>73</v>
      </c>
      <c r="CC28">
        <f t="shared" si="17"/>
        <v>2908</v>
      </c>
      <c r="CD28" s="95" t="s">
        <v>73</v>
      </c>
    </row>
    <row r="29" spans="1:82" s="122" customFormat="1" ht="16">
      <c r="A29" s="115" t="s">
        <v>327</v>
      </c>
      <c r="B29" s="115">
        <v>9</v>
      </c>
      <c r="C29" s="95">
        <v>1248</v>
      </c>
      <c r="D29" s="115">
        <v>302</v>
      </c>
      <c r="E29" s="10" t="s">
        <v>328</v>
      </c>
      <c r="F29" s="115">
        <v>2017</v>
      </c>
      <c r="G29" t="s">
        <v>329</v>
      </c>
      <c r="H29" t="s">
        <v>330</v>
      </c>
      <c r="I29" s="10">
        <v>2</v>
      </c>
      <c r="J29" s="10" t="s">
        <v>73</v>
      </c>
      <c r="K29" s="115" t="s">
        <v>73</v>
      </c>
      <c r="L29">
        <v>147</v>
      </c>
      <c r="M29" t="s">
        <v>331</v>
      </c>
      <c r="N29" t="s">
        <v>292</v>
      </c>
      <c r="O29" t="s">
        <v>332</v>
      </c>
      <c r="P29" s="10" t="s">
        <v>235</v>
      </c>
      <c r="Q29" t="s">
        <v>236</v>
      </c>
      <c r="R29" t="s">
        <v>243</v>
      </c>
      <c r="S29">
        <v>1</v>
      </c>
      <c r="T29" t="s">
        <v>189</v>
      </c>
      <c r="U29">
        <v>0</v>
      </c>
      <c r="V29" s="10" t="s">
        <v>225</v>
      </c>
      <c r="W29" s="10" t="s">
        <v>252</v>
      </c>
      <c r="X29" s="10" t="s">
        <v>333</v>
      </c>
      <c r="Y29" s="10">
        <v>0</v>
      </c>
      <c r="Z29" s="10">
        <v>0</v>
      </c>
      <c r="AA29" s="10">
        <v>1</v>
      </c>
      <c r="AB29" s="10">
        <v>0</v>
      </c>
      <c r="AC29" s="10">
        <v>0</v>
      </c>
      <c r="AD29" s="10">
        <v>0</v>
      </c>
      <c r="AE29" s="115">
        <v>0</v>
      </c>
      <c r="AF29" s="115">
        <v>0</v>
      </c>
      <c r="AG29" s="10" t="s">
        <v>334</v>
      </c>
      <c r="AH29" s="10">
        <v>0</v>
      </c>
      <c r="AI29" s="10">
        <v>0</v>
      </c>
      <c r="AJ29" s="10">
        <v>0</v>
      </c>
      <c r="AK29" s="10">
        <v>0</v>
      </c>
      <c r="AL29" s="10">
        <v>0</v>
      </c>
      <c r="AM29" s="10">
        <v>1</v>
      </c>
      <c r="AN29" s="10">
        <v>0</v>
      </c>
      <c r="AO29" s="10">
        <v>0</v>
      </c>
      <c r="AP29" s="10">
        <v>0</v>
      </c>
      <c r="AQ29" t="s">
        <v>335</v>
      </c>
      <c r="AR29" t="s">
        <v>227</v>
      </c>
      <c r="AS29" t="s">
        <v>336</v>
      </c>
      <c r="AT29" t="s">
        <v>229</v>
      </c>
      <c r="AU29">
        <v>0.05</v>
      </c>
      <c r="AV29" s="7" t="s">
        <v>80</v>
      </c>
      <c r="AW29" t="s">
        <v>73</v>
      </c>
      <c r="AX29">
        <v>0.01</v>
      </c>
      <c r="AY29">
        <v>1</v>
      </c>
      <c r="AZ29">
        <f t="shared" ref="AZ29:AZ34" si="18">TINV(AX29,CC29)</f>
        <v>2.5764354463748322</v>
      </c>
      <c r="BA29" s="107">
        <f t="shared" si="16"/>
        <v>5.1271096376024117E-2</v>
      </c>
      <c r="BB29" s="112">
        <f t="shared" si="13"/>
        <v>0.51249739648421033</v>
      </c>
      <c r="BC29" s="10" t="s">
        <v>73</v>
      </c>
      <c r="BD29" s="10" t="s">
        <v>73</v>
      </c>
      <c r="BE29" s="10" t="s">
        <v>73</v>
      </c>
      <c r="BF29" s="10" t="s">
        <v>73</v>
      </c>
      <c r="BG29" s="10" t="s">
        <v>73</v>
      </c>
      <c r="BH29" s="10" t="s">
        <v>73</v>
      </c>
      <c r="BI29" s="10">
        <v>8115</v>
      </c>
      <c r="BJ29" s="10">
        <v>8115</v>
      </c>
      <c r="BK29" s="10" t="s">
        <v>73</v>
      </c>
      <c r="BL29" s="10" t="s">
        <v>73</v>
      </c>
      <c r="BM29" t="s">
        <v>73</v>
      </c>
      <c r="BN29" t="s">
        <v>73</v>
      </c>
      <c r="BO29" s="115" t="s">
        <v>73</v>
      </c>
      <c r="BP29" s="115" t="s">
        <v>73</v>
      </c>
      <c r="BQ29" s="115" t="s">
        <v>73</v>
      </c>
      <c r="BR29">
        <v>1</v>
      </c>
      <c r="BS29" s="115" t="s">
        <v>73</v>
      </c>
      <c r="BT29" s="115" t="s">
        <v>73</v>
      </c>
      <c r="BU29" s="10">
        <v>0</v>
      </c>
      <c r="BV29" s="10">
        <v>1</v>
      </c>
      <c r="BW29" s="10">
        <v>1</v>
      </c>
      <c r="BX29" s="30">
        <f t="shared" si="14"/>
        <v>2.8588900354369999E-2</v>
      </c>
      <c r="BY29" s="30">
        <f t="shared" si="3"/>
        <v>2.8596692985986098E-2</v>
      </c>
      <c r="BZ29" s="30">
        <f t="shared" si="4"/>
        <v>1.2324369377013031E-4</v>
      </c>
      <c r="CA29" s="30">
        <f t="shared" si="5"/>
        <v>1.232741617357002E-4</v>
      </c>
      <c r="CB29" s="95" t="s">
        <v>73</v>
      </c>
      <c r="CC29">
        <f t="shared" si="17"/>
        <v>8113</v>
      </c>
      <c r="CD29" s="95" t="s">
        <v>73</v>
      </c>
    </row>
    <row r="30" spans="1:82" s="139" customFormat="1" ht="16">
      <c r="A30" s="115" t="s">
        <v>327</v>
      </c>
      <c r="B30" s="115">
        <v>9</v>
      </c>
      <c r="C30" s="95">
        <v>1247</v>
      </c>
      <c r="D30" s="115">
        <v>302</v>
      </c>
      <c r="E30" s="10" t="s">
        <v>328</v>
      </c>
      <c r="F30" s="115">
        <v>2017</v>
      </c>
      <c r="G30" t="s">
        <v>329</v>
      </c>
      <c r="H30" t="s">
        <v>330</v>
      </c>
      <c r="I30" s="10">
        <v>2</v>
      </c>
      <c r="J30" s="10" t="s">
        <v>73</v>
      </c>
      <c r="K30" s="115" t="s">
        <v>73</v>
      </c>
      <c r="L30">
        <v>147</v>
      </c>
      <c r="M30" t="s">
        <v>331</v>
      </c>
      <c r="N30" t="s">
        <v>292</v>
      </c>
      <c r="O30" t="s">
        <v>332</v>
      </c>
      <c r="P30" s="10" t="s">
        <v>235</v>
      </c>
      <c r="Q30" t="s">
        <v>236</v>
      </c>
      <c r="R30" t="s">
        <v>243</v>
      </c>
      <c r="S30">
        <v>1</v>
      </c>
      <c r="T30" t="s">
        <v>189</v>
      </c>
      <c r="U30">
        <v>0</v>
      </c>
      <c r="V30" s="10" t="s">
        <v>225</v>
      </c>
      <c r="W30" s="10" t="s">
        <v>225</v>
      </c>
      <c r="X30" s="10" t="s">
        <v>73</v>
      </c>
      <c r="Y30" s="10">
        <v>0</v>
      </c>
      <c r="Z30" s="10">
        <v>0</v>
      </c>
      <c r="AA30" s="10">
        <v>1</v>
      </c>
      <c r="AB30" s="10">
        <v>0</v>
      </c>
      <c r="AC30" s="10">
        <v>0</v>
      </c>
      <c r="AD30" s="10">
        <v>0</v>
      </c>
      <c r="AE30" s="115">
        <v>0</v>
      </c>
      <c r="AF30" s="115">
        <v>0</v>
      </c>
      <c r="AG30" s="10" t="s">
        <v>334</v>
      </c>
      <c r="AH30" s="10">
        <v>1</v>
      </c>
      <c r="AI30" s="10">
        <v>0</v>
      </c>
      <c r="AJ30" s="10">
        <v>0</v>
      </c>
      <c r="AK30" s="10">
        <v>1</v>
      </c>
      <c r="AL30" s="10">
        <v>0</v>
      </c>
      <c r="AM30" s="10">
        <v>0</v>
      </c>
      <c r="AN30" s="10">
        <v>0</v>
      </c>
      <c r="AO30" s="10">
        <v>0</v>
      </c>
      <c r="AP30" s="10">
        <v>0</v>
      </c>
      <c r="AQ30" t="s">
        <v>335</v>
      </c>
      <c r="AR30" t="s">
        <v>227</v>
      </c>
      <c r="AS30" t="s">
        <v>336</v>
      </c>
      <c r="AT30" t="s">
        <v>229</v>
      </c>
      <c r="AU30">
        <v>7.4999999999999997E-2</v>
      </c>
      <c r="AV30" s="7" t="s">
        <v>80</v>
      </c>
      <c r="AW30" t="s">
        <v>73</v>
      </c>
      <c r="AX30">
        <v>0.01</v>
      </c>
      <c r="AY30">
        <v>1</v>
      </c>
      <c r="AZ30">
        <f t="shared" si="18"/>
        <v>2.5764354463748322</v>
      </c>
      <c r="BA30" s="107">
        <f t="shared" si="16"/>
        <v>7.788415088463152E-2</v>
      </c>
      <c r="BB30" s="112">
        <f t="shared" si="13"/>
        <v>0.51874121587853528</v>
      </c>
      <c r="BC30" s="10" t="s">
        <v>73</v>
      </c>
      <c r="BD30" s="10" t="s">
        <v>73</v>
      </c>
      <c r="BE30" s="10" t="s">
        <v>73</v>
      </c>
      <c r="BF30" s="10" t="s">
        <v>73</v>
      </c>
      <c r="BG30" s="10" t="s">
        <v>73</v>
      </c>
      <c r="BH30" s="10" t="s">
        <v>73</v>
      </c>
      <c r="BI30" s="10">
        <v>8115</v>
      </c>
      <c r="BJ30" s="10">
        <v>8115</v>
      </c>
      <c r="BK30" s="10" t="s">
        <v>73</v>
      </c>
      <c r="BL30" s="10" t="s">
        <v>73</v>
      </c>
      <c r="BM30" t="s">
        <v>73</v>
      </c>
      <c r="BN30" t="s">
        <v>73</v>
      </c>
      <c r="BO30" s="115" t="s">
        <v>73</v>
      </c>
      <c r="BP30" s="115" t="s">
        <v>73</v>
      </c>
      <c r="BQ30" s="115" t="s">
        <v>73</v>
      </c>
      <c r="BR30">
        <v>1</v>
      </c>
      <c r="BS30" s="115" t="s">
        <v>73</v>
      </c>
      <c r="BT30" s="115" t="s">
        <v>73</v>
      </c>
      <c r="BU30" s="10">
        <v>0</v>
      </c>
      <c r="BV30" s="10">
        <v>1</v>
      </c>
      <c r="BW30" s="10">
        <v>1</v>
      </c>
      <c r="BX30" s="30">
        <f t="shared" si="14"/>
        <v>2.8588900354369999E-2</v>
      </c>
      <c r="BY30" s="30">
        <f t="shared" si="3"/>
        <v>2.8596692985986098E-2</v>
      </c>
      <c r="BZ30" s="30">
        <f t="shared" si="4"/>
        <v>1.2324369377013031E-4</v>
      </c>
      <c r="CA30" s="30">
        <f t="shared" si="5"/>
        <v>1.232741617357002E-4</v>
      </c>
      <c r="CB30" s="95" t="s">
        <v>73</v>
      </c>
      <c r="CC30">
        <f t="shared" si="17"/>
        <v>8113</v>
      </c>
      <c r="CD30" s="95" t="s">
        <v>73</v>
      </c>
    </row>
    <row r="31" spans="1:82" ht="16">
      <c r="A31" s="115" t="s">
        <v>327</v>
      </c>
      <c r="B31" s="115">
        <v>9</v>
      </c>
      <c r="C31" s="95">
        <v>1249</v>
      </c>
      <c r="D31" s="115">
        <v>302</v>
      </c>
      <c r="E31" s="10" t="s">
        <v>328</v>
      </c>
      <c r="F31" s="115">
        <v>2017</v>
      </c>
      <c r="G31" t="s">
        <v>329</v>
      </c>
      <c r="H31" t="s">
        <v>330</v>
      </c>
      <c r="I31" s="10">
        <v>2</v>
      </c>
      <c r="J31" s="10" t="s">
        <v>73</v>
      </c>
      <c r="K31" s="115" t="s">
        <v>73</v>
      </c>
      <c r="L31">
        <v>147</v>
      </c>
      <c r="M31" t="s">
        <v>331</v>
      </c>
      <c r="N31" t="s">
        <v>292</v>
      </c>
      <c r="O31" t="s">
        <v>332</v>
      </c>
      <c r="P31" s="10" t="s">
        <v>235</v>
      </c>
      <c r="Q31" t="s">
        <v>236</v>
      </c>
      <c r="R31" t="s">
        <v>243</v>
      </c>
      <c r="S31">
        <v>1</v>
      </c>
      <c r="T31" t="s">
        <v>189</v>
      </c>
      <c r="U31">
        <v>0</v>
      </c>
      <c r="V31" s="10" t="s">
        <v>225</v>
      </c>
      <c r="W31" s="10" t="s">
        <v>225</v>
      </c>
      <c r="X31" s="10" t="s">
        <v>73</v>
      </c>
      <c r="Y31" s="10">
        <v>0</v>
      </c>
      <c r="Z31" s="10">
        <v>0</v>
      </c>
      <c r="AA31" s="10">
        <v>1</v>
      </c>
      <c r="AB31" s="10">
        <v>0</v>
      </c>
      <c r="AC31" s="10">
        <v>0</v>
      </c>
      <c r="AD31" s="10">
        <v>0</v>
      </c>
      <c r="AE31" s="115">
        <v>0</v>
      </c>
      <c r="AF31" s="115">
        <v>0</v>
      </c>
      <c r="AG31" s="10" t="s">
        <v>346</v>
      </c>
      <c r="AH31" s="10">
        <v>1</v>
      </c>
      <c r="AI31" s="10">
        <v>0</v>
      </c>
      <c r="AJ31" s="10">
        <v>0</v>
      </c>
      <c r="AK31" s="10">
        <v>1</v>
      </c>
      <c r="AL31" s="10">
        <v>0</v>
      </c>
      <c r="AM31" s="10">
        <v>0</v>
      </c>
      <c r="AN31" s="10">
        <v>0</v>
      </c>
      <c r="AO31" s="10">
        <v>0</v>
      </c>
      <c r="AP31" s="10">
        <v>0</v>
      </c>
      <c r="AQ31" t="s">
        <v>335</v>
      </c>
      <c r="AR31" t="s">
        <v>227</v>
      </c>
      <c r="AS31" t="s">
        <v>336</v>
      </c>
      <c r="AT31" t="s">
        <v>229</v>
      </c>
      <c r="AU31">
        <v>8.6999999999999994E-2</v>
      </c>
      <c r="AV31" s="7" t="s">
        <v>80</v>
      </c>
      <c r="AW31" t="s">
        <v>73</v>
      </c>
      <c r="AX31">
        <v>0.01</v>
      </c>
      <c r="AY31">
        <v>1</v>
      </c>
      <c r="AZ31">
        <f t="shared" si="18"/>
        <v>2.5776085962794295</v>
      </c>
      <c r="BA31" s="107">
        <f t="shared" si="16"/>
        <v>9.0896679718277751E-2</v>
      </c>
      <c r="BB31" s="112">
        <f t="shared" si="13"/>
        <v>0.52173629156332213</v>
      </c>
      <c r="BC31" s="10" t="s">
        <v>73</v>
      </c>
      <c r="BD31" s="10" t="s">
        <v>73</v>
      </c>
      <c r="BE31" s="10" t="s">
        <v>73</v>
      </c>
      <c r="BF31" s="10" t="s">
        <v>73</v>
      </c>
      <c r="BG31" s="10" t="s">
        <v>73</v>
      </c>
      <c r="BH31" s="10" t="s">
        <v>73</v>
      </c>
      <c r="BI31" s="10">
        <v>2767</v>
      </c>
      <c r="BJ31" s="10">
        <v>2767</v>
      </c>
      <c r="BK31" s="10" t="s">
        <v>73</v>
      </c>
      <c r="BL31" s="10" t="s">
        <v>73</v>
      </c>
      <c r="BM31" t="s">
        <v>73</v>
      </c>
      <c r="BN31" t="s">
        <v>73</v>
      </c>
      <c r="BO31" s="115" t="s">
        <v>73</v>
      </c>
      <c r="BP31" s="115" t="s">
        <v>73</v>
      </c>
      <c r="BQ31" s="115" t="s">
        <v>73</v>
      </c>
      <c r="BR31">
        <v>1</v>
      </c>
      <c r="BS31" s="115" t="s">
        <v>73</v>
      </c>
      <c r="BT31" s="115" t="s">
        <v>73</v>
      </c>
      <c r="BU31" s="10">
        <v>0</v>
      </c>
      <c r="BV31" s="10">
        <v>1</v>
      </c>
      <c r="BW31" s="10">
        <v>1</v>
      </c>
      <c r="BX31" s="30">
        <f t="shared" si="14"/>
        <v>4.8943115053431581E-2</v>
      </c>
      <c r="BY31" s="30">
        <f t="shared" si="3"/>
        <v>4.8982251228669553E-2</v>
      </c>
      <c r="BZ31" s="30">
        <f t="shared" si="4"/>
        <v>3.6153081834669693E-4</v>
      </c>
      <c r="CA31" s="30">
        <f t="shared" si="5"/>
        <v>3.6179450072358897E-4</v>
      </c>
      <c r="CB31" s="95" t="s">
        <v>73</v>
      </c>
      <c r="CC31">
        <f t="shared" si="17"/>
        <v>2765</v>
      </c>
      <c r="CD31" s="95" t="s">
        <v>73</v>
      </c>
    </row>
    <row r="32" spans="1:82" s="103" customFormat="1" ht="16">
      <c r="A32" s="161" t="s">
        <v>327</v>
      </c>
      <c r="B32" s="161">
        <v>9</v>
      </c>
      <c r="C32" s="162">
        <v>1231</v>
      </c>
      <c r="D32" s="161">
        <v>302</v>
      </c>
      <c r="E32" s="163" t="s">
        <v>328</v>
      </c>
      <c r="F32" s="161">
        <v>2017</v>
      </c>
      <c r="G32" s="164" t="s">
        <v>329</v>
      </c>
      <c r="H32" s="164" t="s">
        <v>330</v>
      </c>
      <c r="I32" s="163">
        <v>2</v>
      </c>
      <c r="J32" s="163" t="s">
        <v>73</v>
      </c>
      <c r="K32" s="161" t="s">
        <v>358</v>
      </c>
      <c r="L32" s="164">
        <v>145</v>
      </c>
      <c r="M32" s="164" t="s">
        <v>331</v>
      </c>
      <c r="N32" s="164" t="s">
        <v>292</v>
      </c>
      <c r="O32" s="164" t="s">
        <v>332</v>
      </c>
      <c r="P32" s="163" t="s">
        <v>235</v>
      </c>
      <c r="Q32" s="164" t="s">
        <v>236</v>
      </c>
      <c r="R32" s="164" t="s">
        <v>243</v>
      </c>
      <c r="S32" s="164">
        <v>1</v>
      </c>
      <c r="T32" s="164" t="s">
        <v>189</v>
      </c>
      <c r="U32" s="164">
        <v>0</v>
      </c>
      <c r="V32" s="163" t="s">
        <v>225</v>
      </c>
      <c r="W32" s="163" t="s">
        <v>225</v>
      </c>
      <c r="X32" s="163" t="s">
        <v>73</v>
      </c>
      <c r="Y32" s="163">
        <v>0</v>
      </c>
      <c r="Z32" s="163">
        <v>0</v>
      </c>
      <c r="AA32" s="163">
        <v>1</v>
      </c>
      <c r="AB32" s="163">
        <v>0</v>
      </c>
      <c r="AC32" s="163">
        <v>0</v>
      </c>
      <c r="AD32" s="163">
        <v>0</v>
      </c>
      <c r="AE32" s="161">
        <v>0</v>
      </c>
      <c r="AF32" s="161">
        <v>0</v>
      </c>
      <c r="AG32" s="163" t="s">
        <v>73</v>
      </c>
      <c r="AH32" s="163">
        <v>0</v>
      </c>
      <c r="AI32" s="163">
        <v>0</v>
      </c>
      <c r="AJ32" s="163">
        <v>0</v>
      </c>
      <c r="AK32" s="163">
        <v>0</v>
      </c>
      <c r="AL32" s="163">
        <v>0</v>
      </c>
      <c r="AM32" s="163">
        <v>0</v>
      </c>
      <c r="AN32" s="163">
        <v>0</v>
      </c>
      <c r="AO32" s="163">
        <v>0</v>
      </c>
      <c r="AP32" s="163">
        <v>0</v>
      </c>
      <c r="AQ32" s="164" t="s">
        <v>359</v>
      </c>
      <c r="AR32" s="164" t="s">
        <v>227</v>
      </c>
      <c r="AS32" s="164" t="s">
        <v>359</v>
      </c>
      <c r="AT32" s="164" t="s">
        <v>229</v>
      </c>
      <c r="AU32" s="164">
        <v>9.5000000000000001E-2</v>
      </c>
      <c r="AV32" s="165" t="s">
        <v>80</v>
      </c>
      <c r="AW32" s="164" t="s">
        <v>73</v>
      </c>
      <c r="AX32" s="164">
        <v>0.01</v>
      </c>
      <c r="AY32" s="164">
        <v>1</v>
      </c>
      <c r="AZ32" s="19">
        <f t="shared" si="18"/>
        <v>2.5767673605962078</v>
      </c>
      <c r="BA32" s="166">
        <f t="shared" si="16"/>
        <v>9.9658855126102841E-2</v>
      </c>
      <c r="BB32" s="112">
        <f t="shared" si="13"/>
        <v>0.52373215412656104</v>
      </c>
      <c r="BC32" s="163" t="s">
        <v>73</v>
      </c>
      <c r="BD32" s="163" t="s">
        <v>73</v>
      </c>
      <c r="BE32" s="163" t="s">
        <v>73</v>
      </c>
      <c r="BF32" s="163" t="s">
        <v>73</v>
      </c>
      <c r="BG32" s="163" t="s">
        <v>73</v>
      </c>
      <c r="BH32" s="163" t="s">
        <v>73</v>
      </c>
      <c r="BI32" s="163">
        <v>5245</v>
      </c>
      <c r="BJ32" s="163">
        <v>5245</v>
      </c>
      <c r="BK32" s="163" t="s">
        <v>73</v>
      </c>
      <c r="BL32" s="163" t="s">
        <v>73</v>
      </c>
      <c r="BM32" s="164" t="s">
        <v>73</v>
      </c>
      <c r="BN32" s="164" t="s">
        <v>73</v>
      </c>
      <c r="BO32" s="161" t="s">
        <v>73</v>
      </c>
      <c r="BP32" s="161" t="s">
        <v>73</v>
      </c>
      <c r="BQ32" s="161" t="s">
        <v>73</v>
      </c>
      <c r="BR32" s="164">
        <v>1</v>
      </c>
      <c r="BS32" s="161" t="s">
        <v>73</v>
      </c>
      <c r="BT32" s="161" t="s">
        <v>73</v>
      </c>
      <c r="BU32" s="163">
        <v>0</v>
      </c>
      <c r="BV32" s="163">
        <v>1</v>
      </c>
      <c r="BW32" s="163">
        <v>1</v>
      </c>
      <c r="BX32" s="167">
        <f t="shared" si="14"/>
        <v>3.5557215848955014E-2</v>
      </c>
      <c r="BY32" s="167">
        <f t="shared" si="3"/>
        <v>3.5572212407713834E-2</v>
      </c>
      <c r="BZ32" s="167">
        <f t="shared" si="4"/>
        <v>1.9069382128292258E-4</v>
      </c>
      <c r="CA32" s="167">
        <f t="shared" si="5"/>
        <v>1.9076688286913393E-4</v>
      </c>
      <c r="CB32" s="95" t="s">
        <v>73</v>
      </c>
      <c r="CC32">
        <f t="shared" si="17"/>
        <v>5243</v>
      </c>
      <c r="CD32" t="s">
        <v>651</v>
      </c>
    </row>
    <row r="33" spans="1:82" s="95" customFormat="1" ht="16">
      <c r="A33" s="161" t="s">
        <v>327</v>
      </c>
      <c r="B33" s="161">
        <v>9</v>
      </c>
      <c r="C33" s="162">
        <v>1230</v>
      </c>
      <c r="D33" s="161">
        <v>302</v>
      </c>
      <c r="E33" s="163" t="s">
        <v>328</v>
      </c>
      <c r="F33" s="161">
        <v>2017</v>
      </c>
      <c r="G33" s="164" t="s">
        <v>329</v>
      </c>
      <c r="H33" s="164" t="s">
        <v>330</v>
      </c>
      <c r="I33" s="163">
        <v>2</v>
      </c>
      <c r="J33" s="163" t="s">
        <v>73</v>
      </c>
      <c r="K33" s="161" t="s">
        <v>358</v>
      </c>
      <c r="L33" s="164">
        <v>145</v>
      </c>
      <c r="M33" s="164" t="s">
        <v>331</v>
      </c>
      <c r="N33" s="164" t="s">
        <v>292</v>
      </c>
      <c r="O33" s="164" t="s">
        <v>332</v>
      </c>
      <c r="P33" s="163" t="s">
        <v>235</v>
      </c>
      <c r="Q33" s="164" t="s">
        <v>236</v>
      </c>
      <c r="R33" s="164" t="s">
        <v>243</v>
      </c>
      <c r="S33" s="164">
        <v>1</v>
      </c>
      <c r="T33" s="164" t="s">
        <v>189</v>
      </c>
      <c r="U33" s="164">
        <v>0</v>
      </c>
      <c r="V33" s="163" t="s">
        <v>225</v>
      </c>
      <c r="W33" s="163" t="s">
        <v>225</v>
      </c>
      <c r="X33" s="163" t="s">
        <v>73</v>
      </c>
      <c r="Y33" s="163">
        <v>0</v>
      </c>
      <c r="Z33" s="163">
        <v>0</v>
      </c>
      <c r="AA33" s="163">
        <v>1</v>
      </c>
      <c r="AB33" s="163">
        <v>0</v>
      </c>
      <c r="AC33" s="163">
        <v>0</v>
      </c>
      <c r="AD33" s="163">
        <v>0</v>
      </c>
      <c r="AE33" s="161">
        <v>0</v>
      </c>
      <c r="AF33" s="161">
        <v>0</v>
      </c>
      <c r="AG33" s="163" t="s">
        <v>73</v>
      </c>
      <c r="AH33" s="163">
        <v>0</v>
      </c>
      <c r="AI33" s="163">
        <v>0</v>
      </c>
      <c r="AJ33" s="163">
        <v>0</v>
      </c>
      <c r="AK33" s="163">
        <v>0</v>
      </c>
      <c r="AL33" s="163">
        <v>0</v>
      </c>
      <c r="AM33" s="163">
        <v>0</v>
      </c>
      <c r="AN33" s="163">
        <v>0</v>
      </c>
      <c r="AO33" s="163">
        <v>0</v>
      </c>
      <c r="AP33" s="163">
        <v>0</v>
      </c>
      <c r="AQ33" s="164" t="s">
        <v>386</v>
      </c>
      <c r="AR33" s="164" t="s">
        <v>227</v>
      </c>
      <c r="AS33" s="164" t="s">
        <v>386</v>
      </c>
      <c r="AT33" s="164" t="s">
        <v>229</v>
      </c>
      <c r="AU33" s="164">
        <v>0.18099999999999999</v>
      </c>
      <c r="AV33" s="165" t="s">
        <v>80</v>
      </c>
      <c r="AW33" s="164" t="s">
        <v>73</v>
      </c>
      <c r="AX33" s="164">
        <v>0.01</v>
      </c>
      <c r="AY33" s="164">
        <v>1</v>
      </c>
      <c r="AZ33" s="19">
        <f t="shared" si="18"/>
        <v>2.5767673605962078</v>
      </c>
      <c r="BA33" s="166">
        <f t="shared" si="16"/>
        <v>0.19841517929319963</v>
      </c>
      <c r="BB33" s="112">
        <f t="shared" si="13"/>
        <v>0.5451268671091033</v>
      </c>
      <c r="BC33" s="163" t="s">
        <v>73</v>
      </c>
      <c r="BD33" s="163" t="s">
        <v>73</v>
      </c>
      <c r="BE33" s="163" t="s">
        <v>73</v>
      </c>
      <c r="BF33" s="163" t="s">
        <v>73</v>
      </c>
      <c r="BG33" s="163" t="s">
        <v>73</v>
      </c>
      <c r="BH33" s="163" t="s">
        <v>73</v>
      </c>
      <c r="BI33" s="163">
        <v>5245</v>
      </c>
      <c r="BJ33" s="163">
        <v>5245</v>
      </c>
      <c r="BK33" s="163" t="s">
        <v>73</v>
      </c>
      <c r="BL33" s="163" t="s">
        <v>73</v>
      </c>
      <c r="BM33" s="164" t="s">
        <v>73</v>
      </c>
      <c r="BN33" s="164" t="s">
        <v>73</v>
      </c>
      <c r="BO33" s="161" t="s">
        <v>73</v>
      </c>
      <c r="BP33" s="161" t="s">
        <v>73</v>
      </c>
      <c r="BQ33" s="161" t="s">
        <v>73</v>
      </c>
      <c r="BR33" s="164">
        <v>1</v>
      </c>
      <c r="BS33" s="161" t="s">
        <v>73</v>
      </c>
      <c r="BT33" s="161" t="s">
        <v>73</v>
      </c>
      <c r="BU33" s="163">
        <v>0</v>
      </c>
      <c r="BV33" s="163">
        <v>1</v>
      </c>
      <c r="BW33" s="163">
        <v>1</v>
      </c>
      <c r="BX33" s="167">
        <f t="shared" si="14"/>
        <v>3.5557215848955014E-2</v>
      </c>
      <c r="BY33" s="167">
        <f t="shared" si="3"/>
        <v>3.5572212407713834E-2</v>
      </c>
      <c r="BZ33" s="167">
        <f t="shared" si="4"/>
        <v>1.9069382128292258E-4</v>
      </c>
      <c r="CA33" s="167">
        <f t="shared" si="5"/>
        <v>1.9076688286913393E-4</v>
      </c>
      <c r="CB33" s="95" t="s">
        <v>73</v>
      </c>
      <c r="CC33">
        <f t="shared" si="17"/>
        <v>5243</v>
      </c>
      <c r="CD33" t="s">
        <v>651</v>
      </c>
    </row>
    <row r="34" spans="1:82" s="95" customFormat="1" ht="16">
      <c r="A34" s="161" t="s">
        <v>327</v>
      </c>
      <c r="B34" s="161">
        <v>9</v>
      </c>
      <c r="C34" s="162">
        <v>1229</v>
      </c>
      <c r="D34" s="161">
        <v>302</v>
      </c>
      <c r="E34" s="163" t="s">
        <v>328</v>
      </c>
      <c r="F34" s="161">
        <v>2017</v>
      </c>
      <c r="G34" s="164" t="s">
        <v>329</v>
      </c>
      <c r="H34" s="164" t="s">
        <v>330</v>
      </c>
      <c r="I34" s="163">
        <v>2</v>
      </c>
      <c r="J34" s="163" t="s">
        <v>73</v>
      </c>
      <c r="K34" s="161" t="s">
        <v>358</v>
      </c>
      <c r="L34" s="164">
        <v>145</v>
      </c>
      <c r="M34" s="164" t="s">
        <v>331</v>
      </c>
      <c r="N34" s="164" t="s">
        <v>292</v>
      </c>
      <c r="O34" s="164" t="s">
        <v>332</v>
      </c>
      <c r="P34" s="163" t="s">
        <v>235</v>
      </c>
      <c r="Q34" s="164" t="s">
        <v>236</v>
      </c>
      <c r="R34" s="164" t="s">
        <v>243</v>
      </c>
      <c r="S34" s="164">
        <v>1</v>
      </c>
      <c r="T34" s="164" t="s">
        <v>189</v>
      </c>
      <c r="U34" s="164">
        <v>0</v>
      </c>
      <c r="V34" s="163" t="s">
        <v>225</v>
      </c>
      <c r="W34" s="163" t="s">
        <v>225</v>
      </c>
      <c r="X34" s="163" t="s">
        <v>73</v>
      </c>
      <c r="Y34" s="163">
        <v>0</v>
      </c>
      <c r="Z34" s="163">
        <v>0</v>
      </c>
      <c r="AA34" s="163">
        <v>1</v>
      </c>
      <c r="AB34" s="163">
        <v>0</v>
      </c>
      <c r="AC34" s="163">
        <v>0</v>
      </c>
      <c r="AD34" s="163">
        <v>0</v>
      </c>
      <c r="AE34" s="161">
        <v>0</v>
      </c>
      <c r="AF34" s="161">
        <v>0</v>
      </c>
      <c r="AG34" s="163" t="s">
        <v>73</v>
      </c>
      <c r="AH34" s="163">
        <v>0</v>
      </c>
      <c r="AI34" s="163">
        <v>0</v>
      </c>
      <c r="AJ34" s="163">
        <v>0</v>
      </c>
      <c r="AK34" s="163">
        <v>0</v>
      </c>
      <c r="AL34" s="163">
        <v>0</v>
      </c>
      <c r="AM34" s="163">
        <v>0</v>
      </c>
      <c r="AN34" s="163">
        <v>0</v>
      </c>
      <c r="AO34" s="163">
        <v>0</v>
      </c>
      <c r="AP34" s="163">
        <v>0</v>
      </c>
      <c r="AQ34" s="164" t="s">
        <v>395</v>
      </c>
      <c r="AR34" s="164" t="s">
        <v>227</v>
      </c>
      <c r="AS34" s="164" t="s">
        <v>395</v>
      </c>
      <c r="AT34" s="164" t="s">
        <v>229</v>
      </c>
      <c r="AU34" s="164">
        <v>0.191</v>
      </c>
      <c r="AV34" s="165" t="s">
        <v>80</v>
      </c>
      <c r="AW34" s="164" t="s">
        <v>73</v>
      </c>
      <c r="AX34" s="164">
        <v>0.01</v>
      </c>
      <c r="AY34" s="164">
        <v>1</v>
      </c>
      <c r="AZ34" s="19">
        <f t="shared" si="18"/>
        <v>2.5767673605962078</v>
      </c>
      <c r="BA34" s="166">
        <f t="shared" si="16"/>
        <v>0.21045945208129946</v>
      </c>
      <c r="BB34" s="112">
        <f t="shared" si="13"/>
        <v>0.54760536364581069</v>
      </c>
      <c r="BC34" s="163" t="s">
        <v>73</v>
      </c>
      <c r="BD34" s="163" t="s">
        <v>73</v>
      </c>
      <c r="BE34" s="163" t="s">
        <v>73</v>
      </c>
      <c r="BF34" s="163" t="s">
        <v>73</v>
      </c>
      <c r="BG34" s="163" t="s">
        <v>73</v>
      </c>
      <c r="BH34" s="163" t="s">
        <v>73</v>
      </c>
      <c r="BI34" s="163">
        <v>5245</v>
      </c>
      <c r="BJ34" s="163">
        <v>5245</v>
      </c>
      <c r="BK34" s="163" t="s">
        <v>73</v>
      </c>
      <c r="BL34" s="163" t="s">
        <v>73</v>
      </c>
      <c r="BM34" s="164" t="s">
        <v>73</v>
      </c>
      <c r="BN34" s="164" t="s">
        <v>73</v>
      </c>
      <c r="BO34" s="161" t="s">
        <v>73</v>
      </c>
      <c r="BP34" s="161" t="s">
        <v>73</v>
      </c>
      <c r="BQ34" s="161" t="s">
        <v>73</v>
      </c>
      <c r="BR34" s="164">
        <v>1</v>
      </c>
      <c r="BS34" s="161" t="s">
        <v>73</v>
      </c>
      <c r="BT34" s="161" t="s">
        <v>73</v>
      </c>
      <c r="BU34" s="163">
        <v>0</v>
      </c>
      <c r="BV34" s="163">
        <v>1</v>
      </c>
      <c r="BW34" s="163">
        <v>1</v>
      </c>
      <c r="BX34" s="167">
        <f t="shared" si="14"/>
        <v>3.5557215848955014E-2</v>
      </c>
      <c r="BY34" s="167">
        <f t="shared" ref="BY34:BY65" si="19">0.5*LN((1+BX34)/(1-BX34))</f>
        <v>3.5572212407713834E-2</v>
      </c>
      <c r="BZ34" s="167">
        <f t="shared" ref="BZ34:BZ65" si="20">((1-(BY34^2)^2)/(BI34-1))</f>
        <v>1.9069382128292258E-4</v>
      </c>
      <c r="CA34" s="167">
        <f t="shared" ref="CA34:CA65" si="21">1/(BI34-3)</f>
        <v>1.9076688286913393E-4</v>
      </c>
      <c r="CB34" s="95" t="s">
        <v>73</v>
      </c>
      <c r="CC34">
        <f t="shared" si="17"/>
        <v>5243</v>
      </c>
      <c r="CD34" t="s">
        <v>651</v>
      </c>
    </row>
    <row r="35" spans="1:82" s="95" customFormat="1" ht="16">
      <c r="A35" s="11" t="s">
        <v>68</v>
      </c>
      <c r="B35" s="11">
        <v>10</v>
      </c>
      <c r="C35" s="11">
        <v>1017</v>
      </c>
      <c r="D35" s="11">
        <v>105</v>
      </c>
      <c r="E35" s="11" t="s">
        <v>247</v>
      </c>
      <c r="F35" s="11">
        <v>2019</v>
      </c>
      <c r="G35" t="s">
        <v>248</v>
      </c>
      <c r="H35" t="s">
        <v>249</v>
      </c>
      <c r="I35" s="18">
        <v>2</v>
      </c>
      <c r="J35" s="10" t="s">
        <v>250</v>
      </c>
      <c r="K35" s="11" t="s">
        <v>73</v>
      </c>
      <c r="L35" s="18">
        <v>230</v>
      </c>
      <c r="M35" t="s">
        <v>155</v>
      </c>
      <c r="N35" t="s">
        <v>76</v>
      </c>
      <c r="O35" s="18" t="s">
        <v>251</v>
      </c>
      <c r="P35" s="18" t="s">
        <v>235</v>
      </c>
      <c r="Q35" t="s">
        <v>236</v>
      </c>
      <c r="R35" t="s">
        <v>243</v>
      </c>
      <c r="S35">
        <v>1</v>
      </c>
      <c r="T35" t="s">
        <v>189</v>
      </c>
      <c r="U35">
        <v>1</v>
      </c>
      <c r="V35" s="18" t="s">
        <v>252</v>
      </c>
      <c r="W35" s="18" t="s">
        <v>225</v>
      </c>
      <c r="X35" s="18" t="s">
        <v>253</v>
      </c>
      <c r="Y35" s="18">
        <v>0</v>
      </c>
      <c r="Z35" s="18">
        <v>1</v>
      </c>
      <c r="AA35" s="18">
        <v>0</v>
      </c>
      <c r="AB35" s="18">
        <v>0</v>
      </c>
      <c r="AC35" s="18">
        <v>0</v>
      </c>
      <c r="AD35" s="18">
        <v>0</v>
      </c>
      <c r="AE35" s="11">
        <v>0</v>
      </c>
      <c r="AF35" s="11">
        <v>0</v>
      </c>
      <c r="AG35" s="18" t="s">
        <v>73</v>
      </c>
      <c r="AH35" s="18">
        <v>0</v>
      </c>
      <c r="AI35" s="18">
        <v>0</v>
      </c>
      <c r="AJ35" s="18">
        <v>0</v>
      </c>
      <c r="AK35" s="18">
        <v>0</v>
      </c>
      <c r="AL35" s="18">
        <v>0</v>
      </c>
      <c r="AM35" s="18">
        <v>1</v>
      </c>
      <c r="AN35" s="18">
        <v>0</v>
      </c>
      <c r="AO35" s="18">
        <v>0</v>
      </c>
      <c r="AP35" s="18">
        <v>0</v>
      </c>
      <c r="AQ35" s="168" t="s">
        <v>73</v>
      </c>
      <c r="AR35" t="s">
        <v>227</v>
      </c>
      <c r="AS35" s="10" t="s">
        <v>254</v>
      </c>
      <c r="AT35" s="10" t="s">
        <v>229</v>
      </c>
      <c r="AU35" s="138">
        <v>4.0000000000000001E-3</v>
      </c>
      <c r="AV35" s="7" t="s">
        <v>80</v>
      </c>
      <c r="AW35">
        <v>0.121</v>
      </c>
      <c r="AX35">
        <v>0.1</v>
      </c>
      <c r="AY35">
        <v>2</v>
      </c>
      <c r="AZ35">
        <f t="shared" ref="AZ35:AZ40" si="22">AU35/AW35</f>
        <v>3.3057851239669422E-2</v>
      </c>
      <c r="BA35" s="169">
        <f t="shared" si="16"/>
        <v>4.0080106773419111E-3</v>
      </c>
      <c r="BB35" s="99">
        <f t="shared" si="13"/>
        <v>0.50099999866666878</v>
      </c>
      <c r="BC35" s="11" t="s">
        <v>73</v>
      </c>
      <c r="BD35" s="18">
        <v>71</v>
      </c>
      <c r="BE35" s="11" t="s">
        <v>73</v>
      </c>
      <c r="BF35" s="11" t="s">
        <v>73</v>
      </c>
      <c r="BG35">
        <v>85</v>
      </c>
      <c r="BH35" s="11" t="s">
        <v>73</v>
      </c>
      <c r="BI35">
        <v>156</v>
      </c>
      <c r="BJ35">
        <v>156</v>
      </c>
      <c r="BK35" s="11" t="s">
        <v>73</v>
      </c>
      <c r="BL35" s="11" t="s">
        <v>73</v>
      </c>
      <c r="BM35" s="11" t="s">
        <v>73</v>
      </c>
      <c r="BN35" s="11" t="s">
        <v>73</v>
      </c>
      <c r="BO35" s="11" t="s">
        <v>73</v>
      </c>
      <c r="BP35" s="11" t="s">
        <v>73</v>
      </c>
      <c r="BQ35" s="11" t="s">
        <v>73</v>
      </c>
      <c r="BR35" s="11" t="s">
        <v>73</v>
      </c>
      <c r="BS35" s="11" t="s">
        <v>73</v>
      </c>
      <c r="BT35" s="11" t="s">
        <v>73</v>
      </c>
      <c r="BU35" s="18">
        <v>1</v>
      </c>
      <c r="BV35" s="18">
        <v>0</v>
      </c>
      <c r="BW35" s="18">
        <v>1</v>
      </c>
      <c r="BX35" s="30">
        <f t="shared" si="14"/>
        <v>2.646737073353082E-3</v>
      </c>
      <c r="BY35" s="30">
        <f t="shared" si="19"/>
        <v>2.6467432537016708E-3</v>
      </c>
      <c r="BZ35" s="30">
        <f t="shared" si="20"/>
        <v>6.4516129029092029E-3</v>
      </c>
      <c r="CA35" s="30">
        <f t="shared" si="21"/>
        <v>6.5359477124183009E-3</v>
      </c>
      <c r="CB35" s="95" t="s">
        <v>73</v>
      </c>
      <c r="CC35">
        <f t="shared" si="17"/>
        <v>154</v>
      </c>
      <c r="CD35" s="95" t="s">
        <v>73</v>
      </c>
    </row>
    <row r="36" spans="1:82" s="95" customFormat="1" ht="16">
      <c r="A36" s="11" t="s">
        <v>68</v>
      </c>
      <c r="B36" s="11">
        <v>10</v>
      </c>
      <c r="C36" s="11">
        <v>1014</v>
      </c>
      <c r="D36" s="11">
        <v>105</v>
      </c>
      <c r="E36" s="11" t="s">
        <v>247</v>
      </c>
      <c r="F36" s="11">
        <v>2019</v>
      </c>
      <c r="G36" t="s">
        <v>248</v>
      </c>
      <c r="H36" t="s">
        <v>249</v>
      </c>
      <c r="I36" s="18">
        <v>2</v>
      </c>
      <c r="J36" s="10" t="s">
        <v>250</v>
      </c>
      <c r="K36" s="11" t="s">
        <v>73</v>
      </c>
      <c r="L36" s="18">
        <v>230</v>
      </c>
      <c r="M36" t="s">
        <v>155</v>
      </c>
      <c r="N36" t="s">
        <v>76</v>
      </c>
      <c r="O36" s="18" t="s">
        <v>251</v>
      </c>
      <c r="P36" s="18" t="s">
        <v>235</v>
      </c>
      <c r="Q36" t="s">
        <v>236</v>
      </c>
      <c r="R36" t="s">
        <v>243</v>
      </c>
      <c r="S36">
        <v>1</v>
      </c>
      <c r="T36" t="s">
        <v>189</v>
      </c>
      <c r="U36">
        <v>1</v>
      </c>
      <c r="V36" s="18" t="s">
        <v>252</v>
      </c>
      <c r="W36" s="18" t="s">
        <v>225</v>
      </c>
      <c r="X36" s="18" t="s">
        <v>253</v>
      </c>
      <c r="Y36" s="18">
        <v>0</v>
      </c>
      <c r="Z36" s="18">
        <v>1</v>
      </c>
      <c r="AA36" s="18">
        <v>0</v>
      </c>
      <c r="AB36" s="18">
        <v>0</v>
      </c>
      <c r="AC36" s="18">
        <v>0</v>
      </c>
      <c r="AD36" s="18">
        <v>0</v>
      </c>
      <c r="AE36" s="11">
        <v>0</v>
      </c>
      <c r="AF36" s="11">
        <v>0</v>
      </c>
      <c r="AG36" s="18" t="s">
        <v>73</v>
      </c>
      <c r="AH36" s="18">
        <v>0</v>
      </c>
      <c r="AI36" s="18">
        <v>0</v>
      </c>
      <c r="AJ36" s="18">
        <v>0</v>
      </c>
      <c r="AK36" s="18">
        <v>0</v>
      </c>
      <c r="AL36" s="18">
        <v>0</v>
      </c>
      <c r="AM36" s="18">
        <v>1</v>
      </c>
      <c r="AN36" s="18">
        <v>0</v>
      </c>
      <c r="AO36" s="18">
        <v>0</v>
      </c>
      <c r="AP36" s="18">
        <v>0</v>
      </c>
      <c r="AQ36" s="168" t="s">
        <v>73</v>
      </c>
      <c r="AR36" t="s">
        <v>227</v>
      </c>
      <c r="AS36" s="10" t="s">
        <v>254</v>
      </c>
      <c r="AT36" s="10" t="s">
        <v>229</v>
      </c>
      <c r="AU36" s="138">
        <v>5.0000000000000001E-3</v>
      </c>
      <c r="AV36" s="7" t="s">
        <v>86</v>
      </c>
      <c r="AW36" s="18">
        <v>0.109</v>
      </c>
      <c r="AX36" s="18">
        <v>0.1</v>
      </c>
      <c r="AY36" s="18">
        <v>2</v>
      </c>
      <c r="AZ36">
        <f t="shared" si="22"/>
        <v>4.5871559633027525E-2</v>
      </c>
      <c r="BA36" s="169">
        <f t="shared" si="16"/>
        <v>5.0125208594009596E-3</v>
      </c>
      <c r="BB36" s="99">
        <f t="shared" si="13"/>
        <v>0.50124999739583986</v>
      </c>
      <c r="BC36" s="11" t="s">
        <v>73</v>
      </c>
      <c r="BD36" s="18">
        <v>71</v>
      </c>
      <c r="BE36" s="11" t="s">
        <v>73</v>
      </c>
      <c r="BF36" s="11" t="s">
        <v>73</v>
      </c>
      <c r="BG36">
        <v>85</v>
      </c>
      <c r="BH36" s="11" t="s">
        <v>73</v>
      </c>
      <c r="BI36">
        <v>156</v>
      </c>
      <c r="BJ36">
        <v>156</v>
      </c>
      <c r="BK36" s="11" t="s">
        <v>73</v>
      </c>
      <c r="BL36" s="11" t="s">
        <v>73</v>
      </c>
      <c r="BM36" s="11" t="s">
        <v>73</v>
      </c>
      <c r="BN36" s="11" t="s">
        <v>73</v>
      </c>
      <c r="BO36" s="11" t="s">
        <v>73</v>
      </c>
      <c r="BP36" s="11" t="s">
        <v>73</v>
      </c>
      <c r="BQ36" s="11" t="s">
        <v>73</v>
      </c>
      <c r="BR36" s="11" t="s">
        <v>73</v>
      </c>
      <c r="BS36" s="11" t="s">
        <v>73</v>
      </c>
      <c r="BT36" s="11" t="s">
        <v>73</v>
      </c>
      <c r="BU36" s="18">
        <v>0</v>
      </c>
      <c r="BV36" s="18">
        <v>0</v>
      </c>
      <c r="BW36" s="18">
        <v>0</v>
      </c>
      <c r="BX36" s="30">
        <f t="shared" si="14"/>
        <v>3.6726393090550187E-3</v>
      </c>
      <c r="BY36" s="30">
        <f t="shared" si="19"/>
        <v>3.6726558217171222E-3</v>
      </c>
      <c r="BZ36" s="30">
        <f t="shared" si="20"/>
        <v>6.4516129020520197E-3</v>
      </c>
      <c r="CA36" s="30">
        <f t="shared" si="21"/>
        <v>6.5359477124183009E-3</v>
      </c>
      <c r="CB36" s="95" t="s">
        <v>73</v>
      </c>
      <c r="CC36">
        <f t="shared" si="17"/>
        <v>154</v>
      </c>
      <c r="CD36" s="95" t="s">
        <v>73</v>
      </c>
    </row>
    <row r="37" spans="1:82" s="95" customFormat="1" ht="16">
      <c r="A37" s="11" t="s">
        <v>68</v>
      </c>
      <c r="B37" s="11">
        <v>10</v>
      </c>
      <c r="C37" s="11">
        <v>1016</v>
      </c>
      <c r="D37" s="11">
        <v>105</v>
      </c>
      <c r="E37" s="11" t="s">
        <v>247</v>
      </c>
      <c r="F37" s="11">
        <v>2019</v>
      </c>
      <c r="G37" t="s">
        <v>248</v>
      </c>
      <c r="H37" t="s">
        <v>249</v>
      </c>
      <c r="I37" s="18">
        <v>2</v>
      </c>
      <c r="J37" s="10" t="s">
        <v>250</v>
      </c>
      <c r="K37" s="11" t="s">
        <v>73</v>
      </c>
      <c r="L37" s="18">
        <v>230</v>
      </c>
      <c r="M37" t="s">
        <v>155</v>
      </c>
      <c r="N37" t="s">
        <v>76</v>
      </c>
      <c r="O37" s="18" t="s">
        <v>251</v>
      </c>
      <c r="P37" s="18" t="s">
        <v>235</v>
      </c>
      <c r="Q37" t="s">
        <v>236</v>
      </c>
      <c r="R37" t="s">
        <v>243</v>
      </c>
      <c r="S37">
        <v>1</v>
      </c>
      <c r="T37" t="s">
        <v>189</v>
      </c>
      <c r="U37">
        <v>1</v>
      </c>
      <c r="V37" s="18" t="s">
        <v>252</v>
      </c>
      <c r="W37" s="18" t="s">
        <v>225</v>
      </c>
      <c r="X37" s="18" t="s">
        <v>253</v>
      </c>
      <c r="Y37" s="18">
        <v>0</v>
      </c>
      <c r="Z37" s="18">
        <v>0</v>
      </c>
      <c r="AA37" s="18">
        <v>0</v>
      </c>
      <c r="AB37" s="18">
        <v>0</v>
      </c>
      <c r="AC37" s="18">
        <v>0</v>
      </c>
      <c r="AD37" s="18">
        <v>1</v>
      </c>
      <c r="AE37" s="11">
        <v>0</v>
      </c>
      <c r="AF37" s="11">
        <v>0</v>
      </c>
      <c r="AG37" s="18" t="s">
        <v>73</v>
      </c>
      <c r="AH37" s="18">
        <v>0</v>
      </c>
      <c r="AI37" s="18">
        <v>0</v>
      </c>
      <c r="AJ37" s="18">
        <v>0</v>
      </c>
      <c r="AK37" s="18">
        <v>0</v>
      </c>
      <c r="AL37" s="18">
        <v>0</v>
      </c>
      <c r="AM37" s="18">
        <v>1</v>
      </c>
      <c r="AN37" s="18">
        <v>0</v>
      </c>
      <c r="AO37" s="18">
        <v>0</v>
      </c>
      <c r="AP37" s="18">
        <v>0</v>
      </c>
      <c r="AQ37" s="168" t="s">
        <v>73</v>
      </c>
      <c r="AR37" t="s">
        <v>227</v>
      </c>
      <c r="AS37" s="10" t="s">
        <v>254</v>
      </c>
      <c r="AT37" s="10" t="s">
        <v>229</v>
      </c>
      <c r="AU37" s="138">
        <v>0.214</v>
      </c>
      <c r="AV37" s="18" t="s">
        <v>80</v>
      </c>
      <c r="AW37" s="18">
        <v>8.7999999999999995E-2</v>
      </c>
      <c r="AX37" s="18">
        <v>0.05</v>
      </c>
      <c r="AY37" s="18">
        <v>1</v>
      </c>
      <c r="AZ37">
        <f t="shared" si="22"/>
        <v>2.4318181818181821</v>
      </c>
      <c r="BA37" s="169">
        <f t="shared" si="16"/>
        <v>0.23862265479345224</v>
      </c>
      <c r="BB37" s="99">
        <f t="shared" si="13"/>
        <v>0.55329675688810287</v>
      </c>
      <c r="BC37" s="11" t="s">
        <v>73</v>
      </c>
      <c r="BD37" s="18">
        <v>71</v>
      </c>
      <c r="BE37" s="11" t="s">
        <v>73</v>
      </c>
      <c r="BF37" s="11" t="s">
        <v>73</v>
      </c>
      <c r="BG37">
        <v>84</v>
      </c>
      <c r="BH37" s="11" t="s">
        <v>73</v>
      </c>
      <c r="BI37">
        <v>155</v>
      </c>
      <c r="BJ37">
        <v>155</v>
      </c>
      <c r="BK37" s="11" t="s">
        <v>73</v>
      </c>
      <c r="BL37" s="11" t="s">
        <v>73</v>
      </c>
      <c r="BM37" s="11" t="s">
        <v>73</v>
      </c>
      <c r="BN37" s="11" t="s">
        <v>73</v>
      </c>
      <c r="BO37" s="11" t="s">
        <v>73</v>
      </c>
      <c r="BP37" s="11" t="s">
        <v>73</v>
      </c>
      <c r="BQ37" s="11" t="s">
        <v>73</v>
      </c>
      <c r="BR37" s="11" t="s">
        <v>73</v>
      </c>
      <c r="BS37" s="11" t="s">
        <v>73</v>
      </c>
      <c r="BT37" s="11" t="s">
        <v>73</v>
      </c>
      <c r="BU37" s="18">
        <v>0</v>
      </c>
      <c r="BV37" s="18">
        <v>0</v>
      </c>
      <c r="BW37" s="18">
        <v>0</v>
      </c>
      <c r="BX37" s="30">
        <f t="shared" si="14"/>
        <v>0.19170548423159203</v>
      </c>
      <c r="BY37" s="30">
        <f t="shared" si="19"/>
        <v>0.1941071241446195</v>
      </c>
      <c r="BZ37" s="30">
        <f t="shared" si="20"/>
        <v>6.4842883135948935E-3</v>
      </c>
      <c r="CA37" s="30">
        <f t="shared" si="21"/>
        <v>6.5789473684210523E-3</v>
      </c>
      <c r="CB37" s="95" t="s">
        <v>73</v>
      </c>
      <c r="CC37">
        <f t="shared" si="17"/>
        <v>153</v>
      </c>
      <c r="CD37" s="95" t="s">
        <v>73</v>
      </c>
    </row>
    <row r="38" spans="1:82" s="131" customFormat="1" ht="16">
      <c r="A38" s="11" t="s">
        <v>68</v>
      </c>
      <c r="B38" s="11">
        <v>10</v>
      </c>
      <c r="C38" s="11">
        <v>1019</v>
      </c>
      <c r="D38" s="11">
        <v>105</v>
      </c>
      <c r="E38" s="11" t="s">
        <v>247</v>
      </c>
      <c r="F38" s="11">
        <v>2019</v>
      </c>
      <c r="G38" t="s">
        <v>248</v>
      </c>
      <c r="H38" t="s">
        <v>249</v>
      </c>
      <c r="I38" s="18">
        <v>2</v>
      </c>
      <c r="J38" s="10" t="s">
        <v>250</v>
      </c>
      <c r="K38" s="11" t="s">
        <v>73</v>
      </c>
      <c r="L38" s="18">
        <v>230</v>
      </c>
      <c r="M38" t="s">
        <v>155</v>
      </c>
      <c r="N38" t="s">
        <v>76</v>
      </c>
      <c r="O38" s="18" t="s">
        <v>251</v>
      </c>
      <c r="P38" s="18" t="s">
        <v>235</v>
      </c>
      <c r="Q38" t="s">
        <v>236</v>
      </c>
      <c r="R38" t="s">
        <v>243</v>
      </c>
      <c r="S38">
        <v>1</v>
      </c>
      <c r="T38" t="s">
        <v>189</v>
      </c>
      <c r="U38">
        <v>1</v>
      </c>
      <c r="V38" s="18" t="s">
        <v>252</v>
      </c>
      <c r="W38" s="18" t="s">
        <v>225</v>
      </c>
      <c r="X38" s="18" t="s">
        <v>253</v>
      </c>
      <c r="Y38" s="18">
        <v>0</v>
      </c>
      <c r="Z38" s="18">
        <v>0</v>
      </c>
      <c r="AA38" s="18">
        <v>0</v>
      </c>
      <c r="AB38" s="18">
        <v>0</v>
      </c>
      <c r="AC38" s="18">
        <v>0</v>
      </c>
      <c r="AD38" s="18">
        <v>1</v>
      </c>
      <c r="AE38" s="11">
        <v>0</v>
      </c>
      <c r="AF38" s="11">
        <v>0</v>
      </c>
      <c r="AG38" s="18" t="s">
        <v>73</v>
      </c>
      <c r="AH38" s="18">
        <v>0</v>
      </c>
      <c r="AI38" s="18">
        <v>0</v>
      </c>
      <c r="AJ38" s="18">
        <v>0</v>
      </c>
      <c r="AK38" s="18">
        <v>0</v>
      </c>
      <c r="AL38" s="18">
        <v>0</v>
      </c>
      <c r="AM38" s="18">
        <v>1</v>
      </c>
      <c r="AN38" s="18">
        <v>0</v>
      </c>
      <c r="AO38" s="18">
        <v>0</v>
      </c>
      <c r="AP38" s="18">
        <v>0</v>
      </c>
      <c r="AQ38" s="168" t="s">
        <v>73</v>
      </c>
      <c r="AR38" t="s">
        <v>227</v>
      </c>
      <c r="AS38" s="10" t="s">
        <v>254</v>
      </c>
      <c r="AT38" s="10" t="s">
        <v>229</v>
      </c>
      <c r="AU38" s="138">
        <v>0.22500000000000001</v>
      </c>
      <c r="AV38" s="18" t="s">
        <v>80</v>
      </c>
      <c r="AW38">
        <v>8.5999999999999993E-2</v>
      </c>
      <c r="AX38">
        <v>0.01</v>
      </c>
      <c r="AY38">
        <v>1</v>
      </c>
      <c r="AZ38">
        <f t="shared" si="22"/>
        <v>2.6162790697674421</v>
      </c>
      <c r="BA38" s="169">
        <f t="shared" si="16"/>
        <v>0.25232271619186442</v>
      </c>
      <c r="BB38" s="99">
        <f t="shared" si="13"/>
        <v>0.55601389054461992</v>
      </c>
      <c r="BC38" s="11" t="s">
        <v>73</v>
      </c>
      <c r="BD38" s="18">
        <v>71</v>
      </c>
      <c r="BE38" s="11" t="s">
        <v>73</v>
      </c>
      <c r="BF38" s="11" t="s">
        <v>73</v>
      </c>
      <c r="BG38">
        <v>84</v>
      </c>
      <c r="BH38" s="11" t="s">
        <v>73</v>
      </c>
      <c r="BI38">
        <v>155</v>
      </c>
      <c r="BJ38">
        <v>155</v>
      </c>
      <c r="BK38" s="11" t="s">
        <v>73</v>
      </c>
      <c r="BL38" s="11" t="s">
        <v>73</v>
      </c>
      <c r="BM38" s="11" t="s">
        <v>73</v>
      </c>
      <c r="BN38" s="11" t="s">
        <v>73</v>
      </c>
      <c r="BO38" s="11" t="s">
        <v>73</v>
      </c>
      <c r="BP38" s="11" t="s">
        <v>73</v>
      </c>
      <c r="BQ38" s="11" t="s">
        <v>73</v>
      </c>
      <c r="BR38" s="11" t="s">
        <v>73</v>
      </c>
      <c r="BS38" s="11" t="s">
        <v>73</v>
      </c>
      <c r="BT38" s="11" t="s">
        <v>73</v>
      </c>
      <c r="BU38" s="18">
        <v>1</v>
      </c>
      <c r="BV38" s="18">
        <v>0</v>
      </c>
      <c r="BW38" s="18">
        <v>1</v>
      </c>
      <c r="BX38" s="30">
        <f t="shared" si="14"/>
        <v>0.2056527568985681</v>
      </c>
      <c r="BY38" s="30">
        <f t="shared" si="19"/>
        <v>0.20862785334941172</v>
      </c>
      <c r="BZ38" s="30">
        <f t="shared" si="20"/>
        <v>6.4812046998817896E-3</v>
      </c>
      <c r="CA38" s="30">
        <f t="shared" si="21"/>
        <v>6.5789473684210523E-3</v>
      </c>
      <c r="CB38" s="95" t="s">
        <v>73</v>
      </c>
      <c r="CC38">
        <f t="shared" si="17"/>
        <v>153</v>
      </c>
      <c r="CD38" s="95" t="s">
        <v>73</v>
      </c>
    </row>
    <row r="39" spans="1:82" s="95" customFormat="1" ht="16">
      <c r="A39" s="11" t="s">
        <v>68</v>
      </c>
      <c r="B39" s="11">
        <v>10</v>
      </c>
      <c r="C39" s="11">
        <v>1015</v>
      </c>
      <c r="D39" s="11">
        <v>105</v>
      </c>
      <c r="E39" s="11" t="s">
        <v>247</v>
      </c>
      <c r="F39" s="11">
        <v>2019</v>
      </c>
      <c r="G39" t="s">
        <v>248</v>
      </c>
      <c r="H39" t="s">
        <v>249</v>
      </c>
      <c r="I39" s="18">
        <v>2</v>
      </c>
      <c r="J39" s="10" t="s">
        <v>250</v>
      </c>
      <c r="K39" s="11" t="s">
        <v>73</v>
      </c>
      <c r="L39" s="18">
        <v>230</v>
      </c>
      <c r="M39" t="s">
        <v>155</v>
      </c>
      <c r="N39" t="s">
        <v>76</v>
      </c>
      <c r="O39" s="18" t="s">
        <v>251</v>
      </c>
      <c r="P39" s="18" t="s">
        <v>235</v>
      </c>
      <c r="Q39" t="s">
        <v>236</v>
      </c>
      <c r="R39" t="s">
        <v>243</v>
      </c>
      <c r="S39">
        <v>1</v>
      </c>
      <c r="T39" t="s">
        <v>189</v>
      </c>
      <c r="U39">
        <v>1</v>
      </c>
      <c r="V39" s="18" t="s">
        <v>252</v>
      </c>
      <c r="W39" s="18" t="s">
        <v>225</v>
      </c>
      <c r="X39" s="18" t="s">
        <v>253</v>
      </c>
      <c r="Y39" s="18">
        <v>0</v>
      </c>
      <c r="Z39" s="18">
        <v>1</v>
      </c>
      <c r="AA39" s="18">
        <v>0</v>
      </c>
      <c r="AB39" s="18">
        <v>0</v>
      </c>
      <c r="AC39" s="18">
        <v>0</v>
      </c>
      <c r="AD39" s="18">
        <v>1</v>
      </c>
      <c r="AE39" s="11">
        <v>0</v>
      </c>
      <c r="AF39" s="11">
        <v>0</v>
      </c>
      <c r="AG39" s="18" t="s">
        <v>73</v>
      </c>
      <c r="AH39" s="18">
        <v>0</v>
      </c>
      <c r="AI39" s="18">
        <v>0</v>
      </c>
      <c r="AJ39" s="18">
        <v>0</v>
      </c>
      <c r="AK39" s="18">
        <v>0</v>
      </c>
      <c r="AL39" s="18">
        <v>0</v>
      </c>
      <c r="AM39" s="18">
        <v>1</v>
      </c>
      <c r="AN39" s="18">
        <v>0</v>
      </c>
      <c r="AO39" s="18">
        <v>0</v>
      </c>
      <c r="AP39" s="18">
        <v>0</v>
      </c>
      <c r="AQ39" s="168" t="s">
        <v>73</v>
      </c>
      <c r="AR39" t="s">
        <v>227</v>
      </c>
      <c r="AS39" s="10" t="s">
        <v>254</v>
      </c>
      <c r="AT39" s="10" t="s">
        <v>229</v>
      </c>
      <c r="AU39" s="138">
        <v>0.61699999999999999</v>
      </c>
      <c r="AV39" s="7" t="s">
        <v>80</v>
      </c>
      <c r="AW39" s="18">
        <v>0.121</v>
      </c>
      <c r="AX39" s="18">
        <v>0.01</v>
      </c>
      <c r="AY39" s="18">
        <v>1</v>
      </c>
      <c r="AZ39">
        <f t="shared" si="22"/>
        <v>5.0991735537190079</v>
      </c>
      <c r="BA39" s="169">
        <f t="shared" si="16"/>
        <v>0.85335961453808529</v>
      </c>
      <c r="BB39" s="99">
        <f t="shared" si="13"/>
        <v>0.64953593830061807</v>
      </c>
      <c r="BC39" s="11" t="s">
        <v>73</v>
      </c>
      <c r="BD39" s="18">
        <v>71</v>
      </c>
      <c r="BE39" s="11" t="s">
        <v>73</v>
      </c>
      <c r="BF39" s="11" t="s">
        <v>73</v>
      </c>
      <c r="BG39">
        <v>77</v>
      </c>
      <c r="BH39" s="11" t="s">
        <v>73</v>
      </c>
      <c r="BI39">
        <v>148</v>
      </c>
      <c r="BJ39">
        <v>148</v>
      </c>
      <c r="BK39" s="11" t="s">
        <v>73</v>
      </c>
      <c r="BL39" s="11" t="s">
        <v>73</v>
      </c>
      <c r="BM39" s="11" t="s">
        <v>73</v>
      </c>
      <c r="BN39" s="11" t="s">
        <v>73</v>
      </c>
      <c r="BO39" s="11" t="s">
        <v>73</v>
      </c>
      <c r="BP39" s="11" t="s">
        <v>73</v>
      </c>
      <c r="BQ39" s="11" t="s">
        <v>73</v>
      </c>
      <c r="BR39" s="11" t="s">
        <v>73</v>
      </c>
      <c r="BS39" s="11" t="s">
        <v>73</v>
      </c>
      <c r="BT39" s="11" t="s">
        <v>73</v>
      </c>
      <c r="BU39" s="18">
        <v>0</v>
      </c>
      <c r="BV39" s="18">
        <v>0</v>
      </c>
      <c r="BW39" s="18">
        <v>0</v>
      </c>
      <c r="BX39" s="30">
        <f t="shared" si="14"/>
        <v>0.38656560447568655</v>
      </c>
      <c r="BY39" s="30">
        <f t="shared" si="19"/>
        <v>0.40775592843557701</v>
      </c>
      <c r="BZ39" s="30">
        <f t="shared" si="20"/>
        <v>6.6146665576027192E-3</v>
      </c>
      <c r="CA39" s="30">
        <f t="shared" si="21"/>
        <v>6.8965517241379309E-3</v>
      </c>
      <c r="CB39" s="95" t="s">
        <v>73</v>
      </c>
      <c r="CC39">
        <f t="shared" si="17"/>
        <v>146</v>
      </c>
      <c r="CD39" s="95" t="s">
        <v>73</v>
      </c>
    </row>
    <row r="40" spans="1:82" s="95" customFormat="1" ht="16">
      <c r="A40" s="11" t="s">
        <v>68</v>
      </c>
      <c r="B40" s="11">
        <v>10</v>
      </c>
      <c r="C40" s="11">
        <v>1018</v>
      </c>
      <c r="D40" s="11">
        <v>105</v>
      </c>
      <c r="E40" s="11" t="s">
        <v>247</v>
      </c>
      <c r="F40" s="11">
        <v>2019</v>
      </c>
      <c r="G40" t="s">
        <v>248</v>
      </c>
      <c r="H40" t="s">
        <v>249</v>
      </c>
      <c r="I40" s="18">
        <v>2</v>
      </c>
      <c r="J40" s="10" t="s">
        <v>250</v>
      </c>
      <c r="K40" s="11" t="s">
        <v>73</v>
      </c>
      <c r="L40" s="18">
        <v>230</v>
      </c>
      <c r="M40" t="s">
        <v>155</v>
      </c>
      <c r="N40" t="s">
        <v>76</v>
      </c>
      <c r="O40" s="18" t="s">
        <v>251</v>
      </c>
      <c r="P40" s="18" t="s">
        <v>235</v>
      </c>
      <c r="Q40" t="s">
        <v>236</v>
      </c>
      <c r="R40" t="s">
        <v>243</v>
      </c>
      <c r="S40">
        <v>1</v>
      </c>
      <c r="T40" t="s">
        <v>189</v>
      </c>
      <c r="U40">
        <v>1</v>
      </c>
      <c r="V40" s="18" t="s">
        <v>252</v>
      </c>
      <c r="W40" s="18" t="s">
        <v>225</v>
      </c>
      <c r="X40" s="18" t="s">
        <v>253</v>
      </c>
      <c r="Y40" s="18">
        <v>0</v>
      </c>
      <c r="Z40" s="18">
        <v>1</v>
      </c>
      <c r="AA40" s="18">
        <v>0</v>
      </c>
      <c r="AB40" s="18">
        <v>0</v>
      </c>
      <c r="AC40" s="18">
        <v>0</v>
      </c>
      <c r="AD40" s="18">
        <v>1</v>
      </c>
      <c r="AE40" s="11">
        <v>0</v>
      </c>
      <c r="AF40" s="11">
        <v>0</v>
      </c>
      <c r="AG40" s="18" t="s">
        <v>73</v>
      </c>
      <c r="AH40" s="18">
        <v>0</v>
      </c>
      <c r="AI40" s="18">
        <v>0</v>
      </c>
      <c r="AJ40" s="18">
        <v>0</v>
      </c>
      <c r="AK40" s="18">
        <v>0</v>
      </c>
      <c r="AL40" s="18">
        <v>0</v>
      </c>
      <c r="AM40" s="18">
        <v>1</v>
      </c>
      <c r="AN40" s="18">
        <v>0</v>
      </c>
      <c r="AO40" s="18">
        <v>0</v>
      </c>
      <c r="AP40" s="18">
        <v>0</v>
      </c>
      <c r="AQ40" s="168" t="s">
        <v>73</v>
      </c>
      <c r="AR40" t="s">
        <v>227</v>
      </c>
      <c r="AS40" s="10" t="s">
        <v>254</v>
      </c>
      <c r="AT40" s="10" t="s">
        <v>229</v>
      </c>
      <c r="AU40" s="138">
        <v>0.629</v>
      </c>
      <c r="AV40" s="7" t="s">
        <v>80</v>
      </c>
      <c r="AW40">
        <v>0.121</v>
      </c>
      <c r="AX40">
        <v>0.01</v>
      </c>
      <c r="AY40">
        <v>1</v>
      </c>
      <c r="AZ40">
        <f t="shared" si="22"/>
        <v>5.1983471074380168</v>
      </c>
      <c r="BA40" s="169">
        <f t="shared" si="16"/>
        <v>0.87573390717751165</v>
      </c>
      <c r="BB40" s="99">
        <f t="shared" si="13"/>
        <v>0.65226268066592974</v>
      </c>
      <c r="BC40" s="11" t="s">
        <v>73</v>
      </c>
      <c r="BD40" s="18">
        <v>71</v>
      </c>
      <c r="BE40" s="11" t="s">
        <v>73</v>
      </c>
      <c r="BF40" s="11" t="s">
        <v>73</v>
      </c>
      <c r="BG40">
        <v>77</v>
      </c>
      <c r="BH40" s="11" t="s">
        <v>73</v>
      </c>
      <c r="BI40">
        <v>148</v>
      </c>
      <c r="BJ40">
        <v>148</v>
      </c>
      <c r="BK40" s="11" t="s">
        <v>73</v>
      </c>
      <c r="BL40" s="11" t="s">
        <v>73</v>
      </c>
      <c r="BM40" s="11" t="s">
        <v>73</v>
      </c>
      <c r="BN40" s="11" t="s">
        <v>73</v>
      </c>
      <c r="BO40" s="11" t="s">
        <v>73</v>
      </c>
      <c r="BP40" s="11" t="s">
        <v>73</v>
      </c>
      <c r="BQ40" s="11" t="s">
        <v>73</v>
      </c>
      <c r="BR40" s="11" t="s">
        <v>73</v>
      </c>
      <c r="BS40" s="11" t="s">
        <v>73</v>
      </c>
      <c r="BT40" s="11" t="s">
        <v>73</v>
      </c>
      <c r="BU40" s="18">
        <v>1</v>
      </c>
      <c r="BV40" s="18">
        <v>0</v>
      </c>
      <c r="BW40" s="18">
        <v>1</v>
      </c>
      <c r="BX40" s="30">
        <f t="shared" si="14"/>
        <v>0.3929324948845429</v>
      </c>
      <c r="BY40" s="30">
        <f t="shared" si="19"/>
        <v>0.41526325821269588</v>
      </c>
      <c r="BZ40" s="30">
        <f t="shared" si="20"/>
        <v>6.6004300266440307E-3</v>
      </c>
      <c r="CA40" s="30">
        <f t="shared" si="21"/>
        <v>6.8965517241379309E-3</v>
      </c>
      <c r="CB40" s="95" t="s">
        <v>73</v>
      </c>
      <c r="CC40">
        <f t="shared" si="17"/>
        <v>146</v>
      </c>
      <c r="CD40" s="95" t="s">
        <v>73</v>
      </c>
    </row>
    <row r="41" spans="1:82" ht="16">
      <c r="A41" s="11" t="s">
        <v>68</v>
      </c>
      <c r="B41" s="11">
        <v>11</v>
      </c>
      <c r="C41" s="11">
        <v>1026</v>
      </c>
      <c r="D41" s="11">
        <v>106</v>
      </c>
      <c r="E41" s="10" t="s">
        <v>288</v>
      </c>
      <c r="F41" s="11">
        <v>2010</v>
      </c>
      <c r="G41" t="s">
        <v>289</v>
      </c>
      <c r="H41" s="10" t="s">
        <v>290</v>
      </c>
      <c r="I41" s="18">
        <v>2</v>
      </c>
      <c r="J41" s="10">
        <v>2008</v>
      </c>
      <c r="K41" s="10" t="s">
        <v>73</v>
      </c>
      <c r="L41">
        <v>203</v>
      </c>
      <c r="M41" t="s">
        <v>291</v>
      </c>
      <c r="N41" t="s">
        <v>292</v>
      </c>
      <c r="O41" t="s">
        <v>124</v>
      </c>
      <c r="P41" s="18" t="s">
        <v>235</v>
      </c>
      <c r="Q41" t="s">
        <v>236</v>
      </c>
      <c r="R41" t="s">
        <v>237</v>
      </c>
      <c r="S41">
        <v>1</v>
      </c>
      <c r="T41" t="s">
        <v>189</v>
      </c>
      <c r="U41">
        <v>0</v>
      </c>
      <c r="V41" s="18" t="s">
        <v>225</v>
      </c>
      <c r="W41" s="18" t="s">
        <v>225</v>
      </c>
      <c r="X41" s="18" t="s">
        <v>73</v>
      </c>
      <c r="Y41">
        <v>0</v>
      </c>
      <c r="Z41">
        <v>0</v>
      </c>
      <c r="AA41">
        <v>0</v>
      </c>
      <c r="AB41">
        <v>0</v>
      </c>
      <c r="AC41">
        <v>0</v>
      </c>
      <c r="AD41">
        <v>1</v>
      </c>
      <c r="AE41">
        <v>0</v>
      </c>
      <c r="AF41">
        <v>0</v>
      </c>
      <c r="AG41" t="s">
        <v>293</v>
      </c>
      <c r="AH41">
        <v>0</v>
      </c>
      <c r="AI41">
        <v>0</v>
      </c>
      <c r="AJ41">
        <v>0</v>
      </c>
      <c r="AK41">
        <v>0</v>
      </c>
      <c r="AL41">
        <v>0</v>
      </c>
      <c r="AM41">
        <v>0</v>
      </c>
      <c r="AN41">
        <v>1</v>
      </c>
      <c r="AO41">
        <v>0</v>
      </c>
      <c r="AP41">
        <v>0</v>
      </c>
      <c r="AQ41" t="s">
        <v>294</v>
      </c>
      <c r="AR41" t="s">
        <v>227</v>
      </c>
      <c r="AS41" t="s">
        <v>295</v>
      </c>
      <c r="AT41" t="s">
        <v>273</v>
      </c>
      <c r="AU41" s="138">
        <v>1.7999999999999999E-2</v>
      </c>
      <c r="AV41" s="7" t="s">
        <v>80</v>
      </c>
      <c r="AW41" t="s">
        <v>73</v>
      </c>
      <c r="AX41">
        <v>0.05</v>
      </c>
      <c r="AY41">
        <v>2</v>
      </c>
      <c r="AZ41" s="19">
        <f t="shared" ref="AZ41:AZ59" si="23">TINV(AX41,CC41)</f>
        <v>1.962795497038498</v>
      </c>
      <c r="BA41" s="169">
        <f t="shared" si="16"/>
        <v>1.8162976389793695E-2</v>
      </c>
      <c r="BB41" s="99">
        <f t="shared" si="13"/>
        <v>0.50449987850393641</v>
      </c>
      <c r="BC41" t="s">
        <v>73</v>
      </c>
      <c r="BD41" s="18" t="s">
        <v>73</v>
      </c>
      <c r="BE41" t="s">
        <v>73</v>
      </c>
      <c r="BF41" t="s">
        <v>73</v>
      </c>
      <c r="BG41" s="18">
        <v>40</v>
      </c>
      <c r="BH41" t="s">
        <v>73</v>
      </c>
      <c r="BI41" s="10">
        <v>841</v>
      </c>
      <c r="BJ41" s="10">
        <v>841</v>
      </c>
      <c r="BK41" t="s">
        <v>73</v>
      </c>
      <c r="BL41" t="s">
        <v>73</v>
      </c>
      <c r="BM41">
        <v>235.29</v>
      </c>
      <c r="BN41" t="s">
        <v>296</v>
      </c>
      <c r="BO41" t="s">
        <v>73</v>
      </c>
      <c r="BP41" t="s">
        <v>73</v>
      </c>
      <c r="BQ41" t="s">
        <v>73</v>
      </c>
      <c r="BR41" t="s">
        <v>73</v>
      </c>
      <c r="BS41" t="s">
        <v>73</v>
      </c>
      <c r="BT41" t="s">
        <v>73</v>
      </c>
      <c r="BU41" s="18">
        <v>1</v>
      </c>
      <c r="BV41" s="18">
        <v>1</v>
      </c>
      <c r="BW41" s="18">
        <v>1</v>
      </c>
      <c r="BX41" s="30">
        <f t="shared" si="14"/>
        <v>6.7528109143524445E-2</v>
      </c>
      <c r="BY41" s="30">
        <f t="shared" si="19"/>
        <v>6.7631034648244742E-2</v>
      </c>
      <c r="BZ41" s="30">
        <f t="shared" si="20"/>
        <v>1.190451284427091E-3</v>
      </c>
      <c r="CA41" s="30">
        <f t="shared" si="21"/>
        <v>1.1933174224343676E-3</v>
      </c>
      <c r="CB41" s="95" t="s">
        <v>73</v>
      </c>
      <c r="CC41">
        <f t="shared" si="17"/>
        <v>839</v>
      </c>
      <c r="CD41" s="95" t="s">
        <v>73</v>
      </c>
    </row>
    <row r="42" spans="1:82" ht="16">
      <c r="A42" s="11" t="s">
        <v>68</v>
      </c>
      <c r="B42" s="11">
        <v>11</v>
      </c>
      <c r="C42" s="11">
        <v>1030</v>
      </c>
      <c r="D42" s="11">
        <v>106</v>
      </c>
      <c r="E42" s="10" t="s">
        <v>288</v>
      </c>
      <c r="F42" s="11">
        <v>2010</v>
      </c>
      <c r="G42" t="s">
        <v>289</v>
      </c>
      <c r="H42" s="10" t="s">
        <v>290</v>
      </c>
      <c r="I42" s="18">
        <v>2</v>
      </c>
      <c r="J42" s="10">
        <v>2008</v>
      </c>
      <c r="K42" s="10" t="s">
        <v>73</v>
      </c>
      <c r="L42">
        <v>203</v>
      </c>
      <c r="M42" t="s">
        <v>308</v>
      </c>
      <c r="N42" t="s">
        <v>292</v>
      </c>
      <c r="O42" t="s">
        <v>124</v>
      </c>
      <c r="P42" s="18" t="s">
        <v>235</v>
      </c>
      <c r="Q42" t="s">
        <v>236</v>
      </c>
      <c r="R42" t="s">
        <v>237</v>
      </c>
      <c r="S42">
        <v>1</v>
      </c>
      <c r="T42" t="s">
        <v>189</v>
      </c>
      <c r="U42">
        <v>0</v>
      </c>
      <c r="V42" s="18" t="s">
        <v>225</v>
      </c>
      <c r="W42" s="18" t="s">
        <v>225</v>
      </c>
      <c r="X42" s="18" t="s">
        <v>73</v>
      </c>
      <c r="Y42">
        <v>0</v>
      </c>
      <c r="Z42">
        <v>0</v>
      </c>
      <c r="AA42">
        <v>0</v>
      </c>
      <c r="AB42">
        <v>0</v>
      </c>
      <c r="AC42">
        <v>0</v>
      </c>
      <c r="AD42">
        <v>1</v>
      </c>
      <c r="AE42">
        <v>0</v>
      </c>
      <c r="AF42">
        <v>0</v>
      </c>
      <c r="AG42" t="s">
        <v>293</v>
      </c>
      <c r="AH42">
        <v>0</v>
      </c>
      <c r="AI42">
        <v>0</v>
      </c>
      <c r="AJ42">
        <v>0</v>
      </c>
      <c r="AK42">
        <v>0</v>
      </c>
      <c r="AL42">
        <v>0</v>
      </c>
      <c r="AM42">
        <v>0</v>
      </c>
      <c r="AN42">
        <v>1</v>
      </c>
      <c r="AO42">
        <v>0</v>
      </c>
      <c r="AP42">
        <v>0</v>
      </c>
      <c r="AQ42" t="s">
        <v>337</v>
      </c>
      <c r="AR42" t="s">
        <v>227</v>
      </c>
      <c r="AS42" t="s">
        <v>295</v>
      </c>
      <c r="AT42" t="s">
        <v>273</v>
      </c>
      <c r="AU42" s="138">
        <v>5.1999999999999998E-2</v>
      </c>
      <c r="AV42" s="7" t="s">
        <v>86</v>
      </c>
      <c r="AW42" t="s">
        <v>73</v>
      </c>
      <c r="AX42">
        <v>0.05</v>
      </c>
      <c r="AY42">
        <v>2</v>
      </c>
      <c r="AZ42" s="19">
        <f t="shared" si="23"/>
        <v>1.962795497038498</v>
      </c>
      <c r="BA42" s="169">
        <f t="shared" si="16"/>
        <v>5.3375742513364743E-2</v>
      </c>
      <c r="BB42" s="99">
        <f t="shared" si="13"/>
        <v>0.51299707145854179</v>
      </c>
      <c r="BC42" t="s">
        <v>73</v>
      </c>
      <c r="BD42" s="18" t="s">
        <v>73</v>
      </c>
      <c r="BE42" t="s">
        <v>73</v>
      </c>
      <c r="BF42" t="s">
        <v>73</v>
      </c>
      <c r="BG42" s="18">
        <v>66</v>
      </c>
      <c r="BH42" t="s">
        <v>73</v>
      </c>
      <c r="BI42" s="10">
        <v>841</v>
      </c>
      <c r="BJ42" s="10">
        <v>841</v>
      </c>
      <c r="BK42" t="s">
        <v>73</v>
      </c>
      <c r="BL42" t="s">
        <v>73</v>
      </c>
      <c r="BM42">
        <v>0</v>
      </c>
      <c r="BN42">
        <v>0</v>
      </c>
      <c r="BO42" t="s">
        <v>73</v>
      </c>
      <c r="BP42" t="s">
        <v>73</v>
      </c>
      <c r="BQ42" t="s">
        <v>73</v>
      </c>
      <c r="BR42" t="s">
        <v>73</v>
      </c>
      <c r="BS42" t="s">
        <v>73</v>
      </c>
      <c r="BT42" t="s">
        <v>73</v>
      </c>
      <c r="BU42" s="18">
        <v>1</v>
      </c>
      <c r="BV42" s="18">
        <v>1</v>
      </c>
      <c r="BW42" s="18">
        <v>1</v>
      </c>
      <c r="BX42" s="30">
        <f t="shared" si="14"/>
        <v>6.7528109143524445E-2</v>
      </c>
      <c r="BY42" s="30">
        <f t="shared" si="19"/>
        <v>6.7631034648244742E-2</v>
      </c>
      <c r="BZ42" s="30">
        <f t="shared" si="20"/>
        <v>1.190451284427091E-3</v>
      </c>
      <c r="CA42" s="30">
        <f t="shared" si="21"/>
        <v>1.1933174224343676E-3</v>
      </c>
      <c r="CB42" s="95" t="s">
        <v>73</v>
      </c>
      <c r="CC42">
        <f t="shared" si="17"/>
        <v>839</v>
      </c>
      <c r="CD42" s="95" t="s">
        <v>73</v>
      </c>
    </row>
    <row r="43" spans="1:82" ht="16">
      <c r="A43" s="11" t="s">
        <v>68</v>
      </c>
      <c r="B43" s="11">
        <v>11</v>
      </c>
      <c r="C43" s="11">
        <v>1033</v>
      </c>
      <c r="D43" s="11">
        <v>106</v>
      </c>
      <c r="E43" s="10" t="s">
        <v>288</v>
      </c>
      <c r="F43" s="11">
        <v>2010</v>
      </c>
      <c r="G43" t="s">
        <v>289</v>
      </c>
      <c r="H43" s="10" t="s">
        <v>290</v>
      </c>
      <c r="I43" s="18">
        <v>2</v>
      </c>
      <c r="J43" s="10">
        <v>2008</v>
      </c>
      <c r="K43" s="10" t="s">
        <v>73</v>
      </c>
      <c r="L43">
        <v>203</v>
      </c>
      <c r="M43" t="s">
        <v>308</v>
      </c>
      <c r="N43" t="s">
        <v>292</v>
      </c>
      <c r="O43" t="s">
        <v>124</v>
      </c>
      <c r="P43" s="18" t="s">
        <v>235</v>
      </c>
      <c r="Q43" t="s">
        <v>236</v>
      </c>
      <c r="R43" t="s">
        <v>237</v>
      </c>
      <c r="S43">
        <v>1</v>
      </c>
      <c r="T43" t="s">
        <v>189</v>
      </c>
      <c r="U43">
        <v>0</v>
      </c>
      <c r="V43" s="18" t="s">
        <v>225</v>
      </c>
      <c r="W43" s="18" t="s">
        <v>225</v>
      </c>
      <c r="X43" s="18" t="s">
        <v>73</v>
      </c>
      <c r="Y43">
        <v>0</v>
      </c>
      <c r="Z43">
        <v>0</v>
      </c>
      <c r="AA43">
        <v>0</v>
      </c>
      <c r="AB43">
        <v>0</v>
      </c>
      <c r="AC43">
        <v>0</v>
      </c>
      <c r="AD43">
        <v>1</v>
      </c>
      <c r="AE43">
        <v>0</v>
      </c>
      <c r="AF43">
        <v>0</v>
      </c>
      <c r="AG43" t="s">
        <v>293</v>
      </c>
      <c r="AH43">
        <v>0</v>
      </c>
      <c r="AI43">
        <v>0</v>
      </c>
      <c r="AJ43">
        <v>0</v>
      </c>
      <c r="AK43">
        <v>0</v>
      </c>
      <c r="AL43">
        <v>0</v>
      </c>
      <c r="AM43">
        <v>0</v>
      </c>
      <c r="AN43">
        <v>1</v>
      </c>
      <c r="AO43">
        <v>0</v>
      </c>
      <c r="AP43">
        <v>0</v>
      </c>
      <c r="AQ43" t="s">
        <v>337</v>
      </c>
      <c r="AR43" t="s">
        <v>227</v>
      </c>
      <c r="AS43" t="s">
        <v>295</v>
      </c>
      <c r="AT43" t="s">
        <v>273</v>
      </c>
      <c r="AU43" s="138">
        <v>5.2999999999999999E-2</v>
      </c>
      <c r="AV43" s="7" t="s">
        <v>80</v>
      </c>
      <c r="AW43" t="s">
        <v>73</v>
      </c>
      <c r="AX43">
        <v>0.05</v>
      </c>
      <c r="AY43">
        <v>2</v>
      </c>
      <c r="AZ43" s="19">
        <f t="shared" si="23"/>
        <v>1.962795497038498</v>
      </c>
      <c r="BA43" s="169">
        <f t="shared" si="16"/>
        <v>5.4429645119355996E-2</v>
      </c>
      <c r="BB43" s="99">
        <f t="shared" si="13"/>
        <v>0.51324689926682643</v>
      </c>
      <c r="BC43" t="s">
        <v>73</v>
      </c>
      <c r="BD43" s="18" t="s">
        <v>73</v>
      </c>
      <c r="BE43" t="s">
        <v>73</v>
      </c>
      <c r="BF43" t="s">
        <v>73</v>
      </c>
      <c r="BG43" s="18">
        <v>60</v>
      </c>
      <c r="BH43" t="s">
        <v>73</v>
      </c>
      <c r="BI43" s="10">
        <v>841</v>
      </c>
      <c r="BJ43" s="10">
        <v>841</v>
      </c>
      <c r="BK43" t="s">
        <v>73</v>
      </c>
      <c r="BL43" t="s">
        <v>73</v>
      </c>
      <c r="BM43">
        <v>0</v>
      </c>
      <c r="BN43">
        <v>0</v>
      </c>
      <c r="BO43" t="s">
        <v>73</v>
      </c>
      <c r="BP43" t="s">
        <v>73</v>
      </c>
      <c r="BQ43" t="s">
        <v>73</v>
      </c>
      <c r="BR43" t="s">
        <v>73</v>
      </c>
      <c r="BS43" t="s">
        <v>73</v>
      </c>
      <c r="BT43" t="s">
        <v>73</v>
      </c>
      <c r="BU43" s="18">
        <v>1</v>
      </c>
      <c r="BV43" s="18">
        <v>1</v>
      </c>
      <c r="BW43" s="18">
        <v>1</v>
      </c>
      <c r="BX43" s="30">
        <f t="shared" si="14"/>
        <v>6.7528109143524445E-2</v>
      </c>
      <c r="BY43" s="30">
        <f t="shared" si="19"/>
        <v>6.7631034648244742E-2</v>
      </c>
      <c r="BZ43" s="30">
        <f t="shared" si="20"/>
        <v>1.190451284427091E-3</v>
      </c>
      <c r="CA43" s="30">
        <f t="shared" si="21"/>
        <v>1.1933174224343676E-3</v>
      </c>
      <c r="CB43" s="95" t="s">
        <v>73</v>
      </c>
      <c r="CC43">
        <f t="shared" si="17"/>
        <v>839</v>
      </c>
      <c r="CD43" s="95" t="s">
        <v>73</v>
      </c>
    </row>
    <row r="44" spans="1:82" ht="16">
      <c r="A44" s="11" t="s">
        <v>68</v>
      </c>
      <c r="B44" s="11">
        <v>11</v>
      </c>
      <c r="C44" s="11">
        <v>1020</v>
      </c>
      <c r="D44" s="11">
        <v>106</v>
      </c>
      <c r="E44" s="10" t="s">
        <v>288</v>
      </c>
      <c r="F44" s="11">
        <v>2010</v>
      </c>
      <c r="G44" t="s">
        <v>289</v>
      </c>
      <c r="H44" s="10" t="s">
        <v>290</v>
      </c>
      <c r="I44" s="18">
        <v>2</v>
      </c>
      <c r="J44" s="10">
        <v>2008</v>
      </c>
      <c r="K44" s="10" t="s">
        <v>73</v>
      </c>
      <c r="L44">
        <v>201</v>
      </c>
      <c r="M44" t="s">
        <v>308</v>
      </c>
      <c r="N44" t="s">
        <v>292</v>
      </c>
      <c r="O44" t="s">
        <v>124</v>
      </c>
      <c r="P44" s="18" t="s">
        <v>235</v>
      </c>
      <c r="Q44" t="s">
        <v>236</v>
      </c>
      <c r="R44" t="s">
        <v>237</v>
      </c>
      <c r="S44">
        <v>1</v>
      </c>
      <c r="T44" t="s">
        <v>189</v>
      </c>
      <c r="U44">
        <v>0</v>
      </c>
      <c r="V44" s="18" t="s">
        <v>225</v>
      </c>
      <c r="W44" s="18" t="s">
        <v>225</v>
      </c>
      <c r="X44" s="18" t="s">
        <v>73</v>
      </c>
      <c r="Y44">
        <v>0</v>
      </c>
      <c r="Z44">
        <v>0</v>
      </c>
      <c r="AA44">
        <v>0</v>
      </c>
      <c r="AB44">
        <v>0</v>
      </c>
      <c r="AC44">
        <v>0</v>
      </c>
      <c r="AD44">
        <v>1</v>
      </c>
      <c r="AE44">
        <v>0</v>
      </c>
      <c r="AF44">
        <v>0</v>
      </c>
      <c r="AG44" t="s">
        <v>293</v>
      </c>
      <c r="AH44">
        <v>0</v>
      </c>
      <c r="AI44">
        <v>0</v>
      </c>
      <c r="AJ44">
        <v>0</v>
      </c>
      <c r="AK44">
        <v>0</v>
      </c>
      <c r="AL44">
        <v>0</v>
      </c>
      <c r="AM44">
        <v>0</v>
      </c>
      <c r="AN44">
        <v>1</v>
      </c>
      <c r="AO44">
        <v>0</v>
      </c>
      <c r="AP44">
        <v>0</v>
      </c>
      <c r="AQ44" t="s">
        <v>294</v>
      </c>
      <c r="AR44" t="s">
        <v>227</v>
      </c>
      <c r="AS44" t="s">
        <v>295</v>
      </c>
      <c r="AT44" t="s">
        <v>273</v>
      </c>
      <c r="AU44" s="138">
        <v>0.20499999999999999</v>
      </c>
      <c r="AV44" s="7" t="s">
        <v>80</v>
      </c>
      <c r="AW44" t="s">
        <v>73</v>
      </c>
      <c r="AX44">
        <v>0.05</v>
      </c>
      <c r="AY44">
        <v>2</v>
      </c>
      <c r="AZ44" s="19">
        <f t="shared" si="23"/>
        <v>1.962795497038498</v>
      </c>
      <c r="BA44" s="169">
        <f t="shared" si="16"/>
        <v>0.2275250649631777</v>
      </c>
      <c r="BB44" s="99">
        <f t="shared" si="13"/>
        <v>0.55107126930734196</v>
      </c>
      <c r="BC44" t="s">
        <v>73</v>
      </c>
      <c r="BD44" s="18" t="s">
        <v>73</v>
      </c>
      <c r="BE44" t="s">
        <v>73</v>
      </c>
      <c r="BF44" t="s">
        <v>73</v>
      </c>
      <c r="BG44" s="18">
        <v>54</v>
      </c>
      <c r="BH44" t="s">
        <v>73</v>
      </c>
      <c r="BI44" s="10">
        <v>841</v>
      </c>
      <c r="BJ44" s="10">
        <v>841</v>
      </c>
      <c r="BK44" t="s">
        <v>73</v>
      </c>
      <c r="BL44" t="s">
        <v>73</v>
      </c>
      <c r="BM44">
        <v>235.29</v>
      </c>
      <c r="BN44" t="s">
        <v>296</v>
      </c>
      <c r="BO44" t="s">
        <v>73</v>
      </c>
      <c r="BP44" t="s">
        <v>73</v>
      </c>
      <c r="BQ44" t="s">
        <v>73</v>
      </c>
      <c r="BR44" t="s">
        <v>73</v>
      </c>
      <c r="BS44" t="s">
        <v>73</v>
      </c>
      <c r="BT44" t="s">
        <v>73</v>
      </c>
      <c r="BU44" s="18">
        <v>1</v>
      </c>
      <c r="BV44" s="18">
        <v>1</v>
      </c>
      <c r="BW44" s="18">
        <v>1</v>
      </c>
      <c r="BX44" s="30">
        <f t="shared" si="14"/>
        <v>6.7528109143524445E-2</v>
      </c>
      <c r="BY44" s="30">
        <f t="shared" si="19"/>
        <v>6.7631034648244742E-2</v>
      </c>
      <c r="BZ44" s="30">
        <f t="shared" si="20"/>
        <v>1.190451284427091E-3</v>
      </c>
      <c r="CA44" s="30">
        <f t="shared" si="21"/>
        <v>1.1933174224343676E-3</v>
      </c>
      <c r="CB44" s="95" t="s">
        <v>73</v>
      </c>
      <c r="CC44">
        <f t="shared" si="17"/>
        <v>839</v>
      </c>
      <c r="CD44" s="95" t="s">
        <v>73</v>
      </c>
    </row>
    <row r="45" spans="1:82" ht="16">
      <c r="A45" s="11" t="s">
        <v>68</v>
      </c>
      <c r="B45" s="11">
        <v>11</v>
      </c>
      <c r="C45" s="11">
        <v>1023</v>
      </c>
      <c r="D45" s="11">
        <v>106</v>
      </c>
      <c r="E45" s="10" t="s">
        <v>288</v>
      </c>
      <c r="F45" s="11">
        <v>2010</v>
      </c>
      <c r="G45" t="s">
        <v>289</v>
      </c>
      <c r="H45" s="10" t="s">
        <v>290</v>
      </c>
      <c r="I45" s="18">
        <v>2</v>
      </c>
      <c r="J45" s="10">
        <v>2008</v>
      </c>
      <c r="K45" s="10" t="s">
        <v>73</v>
      </c>
      <c r="L45">
        <v>201</v>
      </c>
      <c r="M45" t="s">
        <v>308</v>
      </c>
      <c r="N45" t="s">
        <v>292</v>
      </c>
      <c r="O45" t="s">
        <v>124</v>
      </c>
      <c r="P45" s="18" t="s">
        <v>235</v>
      </c>
      <c r="Q45" t="s">
        <v>236</v>
      </c>
      <c r="R45" t="s">
        <v>237</v>
      </c>
      <c r="S45">
        <v>1</v>
      </c>
      <c r="T45" t="s">
        <v>189</v>
      </c>
      <c r="U45">
        <v>0</v>
      </c>
      <c r="V45" s="18" t="s">
        <v>225</v>
      </c>
      <c r="W45" s="18" t="s">
        <v>225</v>
      </c>
      <c r="X45" s="18" t="s">
        <v>73</v>
      </c>
      <c r="Y45">
        <v>0</v>
      </c>
      <c r="Z45">
        <v>0</v>
      </c>
      <c r="AA45">
        <v>0</v>
      </c>
      <c r="AB45">
        <v>0</v>
      </c>
      <c r="AC45">
        <v>0</v>
      </c>
      <c r="AD45">
        <v>1</v>
      </c>
      <c r="AE45">
        <v>0</v>
      </c>
      <c r="AF45">
        <v>0</v>
      </c>
      <c r="AG45" t="s">
        <v>293</v>
      </c>
      <c r="AH45">
        <v>0</v>
      </c>
      <c r="AI45">
        <v>0</v>
      </c>
      <c r="AJ45">
        <v>0</v>
      </c>
      <c r="AK45">
        <v>0</v>
      </c>
      <c r="AL45">
        <v>0</v>
      </c>
      <c r="AM45">
        <v>0</v>
      </c>
      <c r="AN45">
        <v>1</v>
      </c>
      <c r="AO45">
        <v>0</v>
      </c>
      <c r="AP45">
        <v>0</v>
      </c>
      <c r="AQ45" t="s">
        <v>294</v>
      </c>
      <c r="AR45" t="s">
        <v>227</v>
      </c>
      <c r="AS45" t="s">
        <v>295</v>
      </c>
      <c r="AT45" t="s">
        <v>273</v>
      </c>
      <c r="AU45" s="138">
        <v>0.218</v>
      </c>
      <c r="AV45" s="7" t="s">
        <v>80</v>
      </c>
      <c r="AW45" t="s">
        <v>73</v>
      </c>
      <c r="AX45">
        <v>0.05</v>
      </c>
      <c r="AY45">
        <v>2</v>
      </c>
      <c r="AZ45" s="19">
        <f t="shared" si="23"/>
        <v>1.962795497038498</v>
      </c>
      <c r="BA45" s="169">
        <f t="shared" si="16"/>
        <v>0.2435870676190619</v>
      </c>
      <c r="BB45" s="99">
        <f t="shared" si="13"/>
        <v>0.55428518267346782</v>
      </c>
      <c r="BC45" t="s">
        <v>73</v>
      </c>
      <c r="BD45" s="18" t="s">
        <v>73</v>
      </c>
      <c r="BE45" t="s">
        <v>73</v>
      </c>
      <c r="BF45" t="s">
        <v>73</v>
      </c>
      <c r="BG45" s="18">
        <v>48</v>
      </c>
      <c r="BH45" t="s">
        <v>73</v>
      </c>
      <c r="BI45" s="10">
        <v>841</v>
      </c>
      <c r="BJ45" s="10">
        <v>841</v>
      </c>
      <c r="BK45" t="s">
        <v>73</v>
      </c>
      <c r="BL45" t="s">
        <v>73</v>
      </c>
      <c r="BM45">
        <v>235.29</v>
      </c>
      <c r="BN45" t="s">
        <v>296</v>
      </c>
      <c r="BO45" t="s">
        <v>73</v>
      </c>
      <c r="BP45" t="s">
        <v>73</v>
      </c>
      <c r="BQ45" t="s">
        <v>73</v>
      </c>
      <c r="BR45" t="s">
        <v>73</v>
      </c>
      <c r="BS45" t="s">
        <v>73</v>
      </c>
      <c r="BT45" t="s">
        <v>73</v>
      </c>
      <c r="BU45" s="18">
        <v>1</v>
      </c>
      <c r="BV45" s="18">
        <v>1</v>
      </c>
      <c r="BW45" s="18">
        <v>1</v>
      </c>
      <c r="BX45" s="30">
        <f t="shared" si="14"/>
        <v>6.7528109143524445E-2</v>
      </c>
      <c r="BY45" s="30">
        <f t="shared" si="19"/>
        <v>6.7631034648244742E-2</v>
      </c>
      <c r="BZ45" s="30">
        <f t="shared" si="20"/>
        <v>1.190451284427091E-3</v>
      </c>
      <c r="CA45" s="30">
        <f t="shared" si="21"/>
        <v>1.1933174224343676E-3</v>
      </c>
      <c r="CB45" s="95" t="s">
        <v>73</v>
      </c>
      <c r="CC45">
        <f t="shared" si="17"/>
        <v>839</v>
      </c>
      <c r="CD45" s="95" t="s">
        <v>73</v>
      </c>
    </row>
    <row r="46" spans="1:82" ht="16">
      <c r="A46" s="11" t="s">
        <v>68</v>
      </c>
      <c r="B46" s="11">
        <v>11</v>
      </c>
      <c r="C46" s="11">
        <v>1032</v>
      </c>
      <c r="D46" s="11">
        <v>106</v>
      </c>
      <c r="E46" s="10" t="s">
        <v>288</v>
      </c>
      <c r="F46" s="11">
        <v>2010</v>
      </c>
      <c r="G46" t="s">
        <v>289</v>
      </c>
      <c r="H46" s="10" t="s">
        <v>290</v>
      </c>
      <c r="I46" s="18">
        <v>2</v>
      </c>
      <c r="J46" s="10">
        <v>2008</v>
      </c>
      <c r="K46" s="10" t="s">
        <v>73</v>
      </c>
      <c r="L46">
        <v>203</v>
      </c>
      <c r="M46" t="s">
        <v>308</v>
      </c>
      <c r="N46" t="s">
        <v>292</v>
      </c>
      <c r="O46" t="s">
        <v>124</v>
      </c>
      <c r="P46" s="18" t="s">
        <v>235</v>
      </c>
      <c r="Q46" t="s">
        <v>236</v>
      </c>
      <c r="R46" t="s">
        <v>237</v>
      </c>
      <c r="S46">
        <v>1</v>
      </c>
      <c r="T46" t="s">
        <v>189</v>
      </c>
      <c r="U46">
        <v>0</v>
      </c>
      <c r="V46" s="18" t="s">
        <v>225</v>
      </c>
      <c r="W46" s="18" t="s">
        <v>225</v>
      </c>
      <c r="X46" s="18" t="s">
        <v>73</v>
      </c>
      <c r="Y46">
        <v>0</v>
      </c>
      <c r="Z46">
        <v>0</v>
      </c>
      <c r="AA46">
        <v>0</v>
      </c>
      <c r="AB46">
        <v>0</v>
      </c>
      <c r="AC46">
        <v>0</v>
      </c>
      <c r="AD46">
        <v>1</v>
      </c>
      <c r="AE46">
        <v>0</v>
      </c>
      <c r="AF46">
        <v>0</v>
      </c>
      <c r="AG46" t="s">
        <v>293</v>
      </c>
      <c r="AH46">
        <v>0</v>
      </c>
      <c r="AI46">
        <v>0</v>
      </c>
      <c r="AJ46">
        <v>0</v>
      </c>
      <c r="AK46">
        <v>0</v>
      </c>
      <c r="AL46">
        <v>0</v>
      </c>
      <c r="AM46">
        <v>0</v>
      </c>
      <c r="AN46">
        <v>1</v>
      </c>
      <c r="AO46">
        <v>0</v>
      </c>
      <c r="AP46">
        <v>0</v>
      </c>
      <c r="AQ46" t="s">
        <v>294</v>
      </c>
      <c r="AR46" t="s">
        <v>227</v>
      </c>
      <c r="AS46" t="s">
        <v>295</v>
      </c>
      <c r="AT46" t="s">
        <v>273</v>
      </c>
      <c r="AU46" s="138">
        <v>0.35199999999999998</v>
      </c>
      <c r="AV46" s="7" t="s">
        <v>86</v>
      </c>
      <c r="AW46" t="s">
        <v>73</v>
      </c>
      <c r="AX46">
        <v>0.05</v>
      </c>
      <c r="AY46">
        <v>2</v>
      </c>
      <c r="AZ46" s="19">
        <f t="shared" si="23"/>
        <v>1.962795497038498</v>
      </c>
      <c r="BA46" s="169">
        <f t="shared" si="16"/>
        <v>0.42190852371857734</v>
      </c>
      <c r="BB46" s="99">
        <f t="shared" si="13"/>
        <v>0.58710248954216959</v>
      </c>
      <c r="BC46" t="s">
        <v>73</v>
      </c>
      <c r="BD46" s="18" t="s">
        <v>73</v>
      </c>
      <c r="BE46" t="s">
        <v>73</v>
      </c>
      <c r="BF46" t="s">
        <v>73</v>
      </c>
      <c r="BG46" s="18">
        <v>60</v>
      </c>
      <c r="BH46" t="s">
        <v>73</v>
      </c>
      <c r="BI46" s="10">
        <v>841</v>
      </c>
      <c r="BJ46" s="10">
        <v>841</v>
      </c>
      <c r="BK46" t="s">
        <v>73</v>
      </c>
      <c r="BL46" t="s">
        <v>73</v>
      </c>
      <c r="BM46">
        <v>235.29</v>
      </c>
      <c r="BN46" t="s">
        <v>296</v>
      </c>
      <c r="BO46" t="s">
        <v>73</v>
      </c>
      <c r="BP46" t="s">
        <v>73</v>
      </c>
      <c r="BQ46" t="s">
        <v>73</v>
      </c>
      <c r="BR46" t="s">
        <v>73</v>
      </c>
      <c r="BS46" t="s">
        <v>73</v>
      </c>
      <c r="BT46" t="s">
        <v>73</v>
      </c>
      <c r="BU46" s="18">
        <v>1</v>
      </c>
      <c r="BV46" s="18">
        <v>1</v>
      </c>
      <c r="BW46" s="18">
        <v>1</v>
      </c>
      <c r="BX46" s="30">
        <f t="shared" si="14"/>
        <v>6.7528109143524445E-2</v>
      </c>
      <c r="BY46" s="30">
        <f t="shared" si="19"/>
        <v>6.7631034648244742E-2</v>
      </c>
      <c r="BZ46" s="30">
        <f t="shared" si="20"/>
        <v>1.190451284427091E-3</v>
      </c>
      <c r="CA46" s="30">
        <f t="shared" si="21"/>
        <v>1.1933174224343676E-3</v>
      </c>
      <c r="CB46" s="95" t="s">
        <v>73</v>
      </c>
      <c r="CC46">
        <f t="shared" si="17"/>
        <v>839</v>
      </c>
      <c r="CD46" s="95" t="s">
        <v>73</v>
      </c>
    </row>
    <row r="47" spans="1:82" s="95" customFormat="1" ht="16">
      <c r="A47" s="11" t="s">
        <v>68</v>
      </c>
      <c r="B47" s="11">
        <v>11</v>
      </c>
      <c r="C47" s="11">
        <v>1024</v>
      </c>
      <c r="D47" s="11">
        <v>106</v>
      </c>
      <c r="E47" s="10" t="s">
        <v>288</v>
      </c>
      <c r="F47" s="11">
        <v>2010</v>
      </c>
      <c r="G47" t="s">
        <v>289</v>
      </c>
      <c r="H47" s="10" t="s">
        <v>290</v>
      </c>
      <c r="I47" s="18">
        <v>2</v>
      </c>
      <c r="J47" s="10">
        <v>2008</v>
      </c>
      <c r="K47" s="10" t="s">
        <v>73</v>
      </c>
      <c r="L47">
        <v>201</v>
      </c>
      <c r="M47" t="s">
        <v>308</v>
      </c>
      <c r="N47" t="s">
        <v>292</v>
      </c>
      <c r="O47" t="s">
        <v>124</v>
      </c>
      <c r="P47" s="18" t="s">
        <v>235</v>
      </c>
      <c r="Q47" t="s">
        <v>236</v>
      </c>
      <c r="R47" t="s">
        <v>237</v>
      </c>
      <c r="S47">
        <v>1</v>
      </c>
      <c r="T47" t="s">
        <v>189</v>
      </c>
      <c r="U47">
        <v>0</v>
      </c>
      <c r="V47" s="18" t="s">
        <v>225</v>
      </c>
      <c r="W47" s="18" t="s">
        <v>225</v>
      </c>
      <c r="X47" s="18" t="s">
        <v>73</v>
      </c>
      <c r="Y47">
        <v>0</v>
      </c>
      <c r="Z47">
        <v>0</v>
      </c>
      <c r="AA47">
        <v>0</v>
      </c>
      <c r="AB47">
        <v>0</v>
      </c>
      <c r="AC47">
        <v>0</v>
      </c>
      <c r="AD47">
        <v>1</v>
      </c>
      <c r="AE47">
        <v>0</v>
      </c>
      <c r="AF47">
        <v>0</v>
      </c>
      <c r="AG47" t="s">
        <v>293</v>
      </c>
      <c r="AH47">
        <v>0</v>
      </c>
      <c r="AI47">
        <v>0</v>
      </c>
      <c r="AJ47">
        <v>0</v>
      </c>
      <c r="AK47">
        <v>0</v>
      </c>
      <c r="AL47">
        <v>0</v>
      </c>
      <c r="AM47">
        <v>0</v>
      </c>
      <c r="AN47">
        <v>1</v>
      </c>
      <c r="AO47">
        <v>0</v>
      </c>
      <c r="AP47">
        <v>0</v>
      </c>
      <c r="AQ47" t="s">
        <v>337</v>
      </c>
      <c r="AR47" t="s">
        <v>227</v>
      </c>
      <c r="AS47" t="s">
        <v>295</v>
      </c>
      <c r="AT47" t="s">
        <v>273</v>
      </c>
      <c r="AU47" s="138">
        <v>0.46899999999999997</v>
      </c>
      <c r="AV47" s="7" t="s">
        <v>80</v>
      </c>
      <c r="AW47" t="s">
        <v>73</v>
      </c>
      <c r="AX47">
        <v>0.05</v>
      </c>
      <c r="AY47">
        <v>2</v>
      </c>
      <c r="AZ47" s="19">
        <f t="shared" si="23"/>
        <v>1.962795497038498</v>
      </c>
      <c r="BA47" s="169">
        <f t="shared" si="16"/>
        <v>0.59839499875464042</v>
      </c>
      <c r="BB47" s="99">
        <f t="shared" si="13"/>
        <v>0.61514704250921037</v>
      </c>
      <c r="BC47" t="s">
        <v>73</v>
      </c>
      <c r="BD47" s="18" t="s">
        <v>73</v>
      </c>
      <c r="BE47" t="s">
        <v>73</v>
      </c>
      <c r="BF47" t="s">
        <v>73</v>
      </c>
      <c r="BG47" s="18">
        <v>48</v>
      </c>
      <c r="BH47" t="s">
        <v>73</v>
      </c>
      <c r="BI47" s="10">
        <v>841</v>
      </c>
      <c r="BJ47" s="10">
        <v>841</v>
      </c>
      <c r="BK47" t="s">
        <v>73</v>
      </c>
      <c r="BL47" t="s">
        <v>73</v>
      </c>
      <c r="BM47">
        <v>0</v>
      </c>
      <c r="BN47">
        <v>0</v>
      </c>
      <c r="BO47" t="s">
        <v>73</v>
      </c>
      <c r="BP47" t="s">
        <v>73</v>
      </c>
      <c r="BQ47" t="s">
        <v>73</v>
      </c>
      <c r="BR47" t="s">
        <v>73</v>
      </c>
      <c r="BS47" t="s">
        <v>73</v>
      </c>
      <c r="BT47" t="s">
        <v>73</v>
      </c>
      <c r="BU47" s="18">
        <v>1</v>
      </c>
      <c r="BV47" s="18">
        <v>1</v>
      </c>
      <c r="BW47" s="18">
        <v>1</v>
      </c>
      <c r="BX47" s="30">
        <f t="shared" si="14"/>
        <v>6.7528109143524445E-2</v>
      </c>
      <c r="BY47" s="30">
        <f t="shared" si="19"/>
        <v>6.7631034648244742E-2</v>
      </c>
      <c r="BZ47" s="30">
        <f t="shared" si="20"/>
        <v>1.190451284427091E-3</v>
      </c>
      <c r="CA47" s="30">
        <f t="shared" si="21"/>
        <v>1.1933174224343676E-3</v>
      </c>
      <c r="CB47" s="95" t="s">
        <v>73</v>
      </c>
      <c r="CC47">
        <f t="shared" si="17"/>
        <v>839</v>
      </c>
      <c r="CD47" s="95" t="s">
        <v>73</v>
      </c>
    </row>
    <row r="48" spans="1:82" s="95" customFormat="1" ht="16">
      <c r="A48" s="11" t="s">
        <v>68</v>
      </c>
      <c r="B48" s="11">
        <v>11</v>
      </c>
      <c r="C48" s="11">
        <v>1029</v>
      </c>
      <c r="D48" s="11">
        <v>106</v>
      </c>
      <c r="E48" s="10" t="s">
        <v>288</v>
      </c>
      <c r="F48" s="11">
        <v>2010</v>
      </c>
      <c r="G48" t="s">
        <v>289</v>
      </c>
      <c r="H48" s="10" t="s">
        <v>290</v>
      </c>
      <c r="I48" s="18">
        <v>2</v>
      </c>
      <c r="J48" s="10">
        <v>2008</v>
      </c>
      <c r="K48" s="10" t="s">
        <v>73</v>
      </c>
      <c r="L48">
        <v>203</v>
      </c>
      <c r="M48" t="s">
        <v>308</v>
      </c>
      <c r="N48" t="s">
        <v>292</v>
      </c>
      <c r="O48" t="s">
        <v>124</v>
      </c>
      <c r="P48" s="18" t="s">
        <v>235</v>
      </c>
      <c r="Q48" t="s">
        <v>236</v>
      </c>
      <c r="R48" t="s">
        <v>237</v>
      </c>
      <c r="S48">
        <v>1</v>
      </c>
      <c r="T48" t="s">
        <v>189</v>
      </c>
      <c r="U48">
        <v>0</v>
      </c>
      <c r="V48" s="18" t="s">
        <v>225</v>
      </c>
      <c r="W48" s="18" t="s">
        <v>225</v>
      </c>
      <c r="X48" s="18" t="s">
        <v>73</v>
      </c>
      <c r="Y48">
        <v>0</v>
      </c>
      <c r="Z48">
        <v>0</v>
      </c>
      <c r="AA48">
        <v>0</v>
      </c>
      <c r="AB48">
        <v>0</v>
      </c>
      <c r="AC48">
        <v>0</v>
      </c>
      <c r="AD48">
        <v>1</v>
      </c>
      <c r="AE48">
        <v>0</v>
      </c>
      <c r="AF48">
        <v>0</v>
      </c>
      <c r="AG48" t="s">
        <v>293</v>
      </c>
      <c r="AH48">
        <v>0</v>
      </c>
      <c r="AI48">
        <v>0</v>
      </c>
      <c r="AJ48">
        <v>0</v>
      </c>
      <c r="AK48">
        <v>0</v>
      </c>
      <c r="AL48">
        <v>0</v>
      </c>
      <c r="AM48">
        <v>0</v>
      </c>
      <c r="AN48">
        <v>1</v>
      </c>
      <c r="AO48">
        <v>0</v>
      </c>
      <c r="AP48">
        <v>0</v>
      </c>
      <c r="AQ48" t="s">
        <v>294</v>
      </c>
      <c r="AR48" t="s">
        <v>227</v>
      </c>
      <c r="AS48" t="s">
        <v>295</v>
      </c>
      <c r="AT48" t="s">
        <v>273</v>
      </c>
      <c r="AU48" s="138">
        <v>0.47199999999999998</v>
      </c>
      <c r="AV48" s="7" t="s">
        <v>86</v>
      </c>
      <c r="AW48" t="s">
        <v>73</v>
      </c>
      <c r="AX48">
        <v>0.05</v>
      </c>
      <c r="AY48">
        <v>2</v>
      </c>
      <c r="AZ48" s="19">
        <f t="shared" si="23"/>
        <v>1.962795497038498</v>
      </c>
      <c r="BA48" s="169">
        <f t="shared" si="16"/>
        <v>0.60319738372657405</v>
      </c>
      <c r="BB48" s="99">
        <f t="shared" si="13"/>
        <v>0.61585702019703836</v>
      </c>
      <c r="BC48" t="s">
        <v>73</v>
      </c>
      <c r="BD48" s="18" t="s">
        <v>73</v>
      </c>
      <c r="BE48" t="s">
        <v>73</v>
      </c>
      <c r="BF48" t="s">
        <v>73</v>
      </c>
      <c r="BG48" s="18">
        <v>66</v>
      </c>
      <c r="BH48" t="s">
        <v>73</v>
      </c>
      <c r="BI48" s="10">
        <v>841</v>
      </c>
      <c r="BJ48" s="10">
        <v>841</v>
      </c>
      <c r="BK48" t="s">
        <v>73</v>
      </c>
      <c r="BL48" t="s">
        <v>73</v>
      </c>
      <c r="BM48">
        <v>235.29</v>
      </c>
      <c r="BN48" t="s">
        <v>296</v>
      </c>
      <c r="BO48" t="s">
        <v>73</v>
      </c>
      <c r="BP48" t="s">
        <v>73</v>
      </c>
      <c r="BQ48" t="s">
        <v>73</v>
      </c>
      <c r="BR48" t="s">
        <v>73</v>
      </c>
      <c r="BS48" t="s">
        <v>73</v>
      </c>
      <c r="BT48" t="s">
        <v>73</v>
      </c>
      <c r="BU48" s="18">
        <v>1</v>
      </c>
      <c r="BV48" s="18">
        <v>1</v>
      </c>
      <c r="BW48" s="18">
        <v>1</v>
      </c>
      <c r="BX48" s="30">
        <f t="shared" si="14"/>
        <v>6.7528109143524445E-2</v>
      </c>
      <c r="BY48" s="30">
        <f t="shared" si="19"/>
        <v>6.7631034648244742E-2</v>
      </c>
      <c r="BZ48" s="30">
        <f t="shared" si="20"/>
        <v>1.190451284427091E-3</v>
      </c>
      <c r="CA48" s="30">
        <f t="shared" si="21"/>
        <v>1.1933174224343676E-3</v>
      </c>
      <c r="CB48" s="95" t="s">
        <v>73</v>
      </c>
      <c r="CC48">
        <f t="shared" si="17"/>
        <v>839</v>
      </c>
      <c r="CD48" s="95" t="s">
        <v>73</v>
      </c>
    </row>
    <row r="49" spans="1:82" s="95" customFormat="1" ht="16">
      <c r="A49" s="11" t="s">
        <v>68</v>
      </c>
      <c r="B49" s="11">
        <v>11</v>
      </c>
      <c r="C49" s="11">
        <v>1021</v>
      </c>
      <c r="D49" s="11">
        <v>106</v>
      </c>
      <c r="E49" s="10" t="s">
        <v>288</v>
      </c>
      <c r="F49" s="11">
        <v>2010</v>
      </c>
      <c r="G49" t="s">
        <v>289</v>
      </c>
      <c r="H49" s="10" t="s">
        <v>290</v>
      </c>
      <c r="I49" s="18">
        <v>2</v>
      </c>
      <c r="J49" s="10">
        <v>2008</v>
      </c>
      <c r="K49" s="10" t="s">
        <v>73</v>
      </c>
      <c r="L49">
        <v>201</v>
      </c>
      <c r="M49" t="s">
        <v>308</v>
      </c>
      <c r="N49" t="s">
        <v>292</v>
      </c>
      <c r="O49" t="s">
        <v>124</v>
      </c>
      <c r="P49" s="18" t="s">
        <v>235</v>
      </c>
      <c r="Q49" t="s">
        <v>236</v>
      </c>
      <c r="R49" t="s">
        <v>237</v>
      </c>
      <c r="S49">
        <v>1</v>
      </c>
      <c r="T49" t="s">
        <v>189</v>
      </c>
      <c r="U49">
        <v>0</v>
      </c>
      <c r="V49" s="18" t="s">
        <v>225</v>
      </c>
      <c r="W49" s="18" t="s">
        <v>225</v>
      </c>
      <c r="X49" s="18" t="s">
        <v>73</v>
      </c>
      <c r="Y49">
        <v>0</v>
      </c>
      <c r="Z49">
        <v>0</v>
      </c>
      <c r="AA49">
        <v>0</v>
      </c>
      <c r="AB49">
        <v>0</v>
      </c>
      <c r="AC49">
        <v>0</v>
      </c>
      <c r="AD49">
        <v>1</v>
      </c>
      <c r="AE49">
        <v>0</v>
      </c>
      <c r="AF49">
        <v>0</v>
      </c>
      <c r="AG49" t="s">
        <v>293</v>
      </c>
      <c r="AH49">
        <v>0</v>
      </c>
      <c r="AI49">
        <v>0</v>
      </c>
      <c r="AJ49">
        <v>0</v>
      </c>
      <c r="AK49">
        <v>0</v>
      </c>
      <c r="AL49">
        <v>0</v>
      </c>
      <c r="AM49">
        <v>0</v>
      </c>
      <c r="AN49">
        <v>1</v>
      </c>
      <c r="AO49">
        <v>0</v>
      </c>
      <c r="AP49">
        <v>0</v>
      </c>
      <c r="AQ49" t="s">
        <v>337</v>
      </c>
      <c r="AR49" t="s">
        <v>227</v>
      </c>
      <c r="AS49" t="s">
        <v>295</v>
      </c>
      <c r="AT49" t="s">
        <v>273</v>
      </c>
      <c r="AU49" s="138">
        <v>0.47799999999999998</v>
      </c>
      <c r="AV49" s="7" t="s">
        <v>80</v>
      </c>
      <c r="AW49" t="s">
        <v>73</v>
      </c>
      <c r="AX49">
        <v>0.05</v>
      </c>
      <c r="AY49">
        <v>2</v>
      </c>
      <c r="AZ49" s="19">
        <f t="shared" si="23"/>
        <v>1.962795497038498</v>
      </c>
      <c r="BA49" s="169">
        <f t="shared" si="16"/>
        <v>0.61284548338362299</v>
      </c>
      <c r="BB49" s="99">
        <f t="shared" si="13"/>
        <v>0.61727549280679062</v>
      </c>
      <c r="BC49" t="s">
        <v>73</v>
      </c>
      <c r="BD49" s="18" t="s">
        <v>73</v>
      </c>
      <c r="BE49" t="s">
        <v>73</v>
      </c>
      <c r="BF49" t="s">
        <v>73</v>
      </c>
      <c r="BG49" s="18">
        <v>54</v>
      </c>
      <c r="BH49" t="s">
        <v>73</v>
      </c>
      <c r="BI49" s="10">
        <v>841</v>
      </c>
      <c r="BJ49" s="10">
        <v>841</v>
      </c>
      <c r="BK49" t="s">
        <v>73</v>
      </c>
      <c r="BL49" t="s">
        <v>73</v>
      </c>
      <c r="BM49">
        <v>0</v>
      </c>
      <c r="BN49">
        <v>0</v>
      </c>
      <c r="BO49" t="s">
        <v>73</v>
      </c>
      <c r="BP49" t="s">
        <v>73</v>
      </c>
      <c r="BQ49" t="s">
        <v>73</v>
      </c>
      <c r="BR49" t="s">
        <v>73</v>
      </c>
      <c r="BS49" t="s">
        <v>73</v>
      </c>
      <c r="BT49" t="s">
        <v>73</v>
      </c>
      <c r="BU49" s="18">
        <v>1</v>
      </c>
      <c r="BV49" s="18">
        <v>1</v>
      </c>
      <c r="BW49" s="18">
        <v>1</v>
      </c>
      <c r="BX49" s="30">
        <f t="shared" si="14"/>
        <v>6.7528109143524445E-2</v>
      </c>
      <c r="BY49" s="30">
        <f t="shared" si="19"/>
        <v>6.7631034648244742E-2</v>
      </c>
      <c r="BZ49" s="30">
        <f t="shared" si="20"/>
        <v>1.190451284427091E-3</v>
      </c>
      <c r="CA49" s="30">
        <f t="shared" si="21"/>
        <v>1.1933174224343676E-3</v>
      </c>
      <c r="CB49" s="95" t="s">
        <v>73</v>
      </c>
      <c r="CC49">
        <f t="shared" si="17"/>
        <v>839</v>
      </c>
      <c r="CD49" s="95" t="s">
        <v>73</v>
      </c>
    </row>
    <row r="50" spans="1:82" s="95" customFormat="1" ht="16">
      <c r="A50" s="11" t="s">
        <v>68</v>
      </c>
      <c r="B50" s="11">
        <v>11</v>
      </c>
      <c r="C50" s="11">
        <v>1027</v>
      </c>
      <c r="D50" s="11">
        <v>106</v>
      </c>
      <c r="E50" s="10" t="s">
        <v>288</v>
      </c>
      <c r="F50" s="11">
        <v>2010</v>
      </c>
      <c r="G50" t="s">
        <v>289</v>
      </c>
      <c r="H50" s="10" t="s">
        <v>290</v>
      </c>
      <c r="I50" s="18">
        <v>2</v>
      </c>
      <c r="J50" s="10">
        <v>2008</v>
      </c>
      <c r="K50" s="10" t="s">
        <v>73</v>
      </c>
      <c r="L50">
        <v>203</v>
      </c>
      <c r="M50" t="s">
        <v>291</v>
      </c>
      <c r="N50" t="s">
        <v>292</v>
      </c>
      <c r="O50" t="s">
        <v>124</v>
      </c>
      <c r="P50" s="18" t="s">
        <v>235</v>
      </c>
      <c r="Q50" t="s">
        <v>236</v>
      </c>
      <c r="R50" t="s">
        <v>237</v>
      </c>
      <c r="S50">
        <v>1</v>
      </c>
      <c r="T50" t="s">
        <v>189</v>
      </c>
      <c r="U50">
        <v>0</v>
      </c>
      <c r="V50" s="18" t="s">
        <v>225</v>
      </c>
      <c r="W50" s="18" t="s">
        <v>225</v>
      </c>
      <c r="X50" s="18" t="s">
        <v>73</v>
      </c>
      <c r="Y50">
        <v>0</v>
      </c>
      <c r="Z50">
        <v>0</v>
      </c>
      <c r="AA50">
        <v>0</v>
      </c>
      <c r="AB50">
        <v>0</v>
      </c>
      <c r="AC50">
        <v>0</v>
      </c>
      <c r="AD50">
        <v>1</v>
      </c>
      <c r="AE50">
        <v>0</v>
      </c>
      <c r="AF50">
        <v>0</v>
      </c>
      <c r="AG50" t="s">
        <v>293</v>
      </c>
      <c r="AH50">
        <v>0</v>
      </c>
      <c r="AI50">
        <v>0</v>
      </c>
      <c r="AJ50">
        <v>0</v>
      </c>
      <c r="AK50">
        <v>0</v>
      </c>
      <c r="AL50">
        <v>0</v>
      </c>
      <c r="AM50">
        <v>0</v>
      </c>
      <c r="AN50">
        <v>1</v>
      </c>
      <c r="AO50">
        <v>0</v>
      </c>
      <c r="AP50">
        <v>0</v>
      </c>
      <c r="AQ50" t="s">
        <v>337</v>
      </c>
      <c r="AR50" t="s">
        <v>227</v>
      </c>
      <c r="AS50" t="s">
        <v>295</v>
      </c>
      <c r="AT50" t="s">
        <v>273</v>
      </c>
      <c r="AU50" s="138">
        <v>0.84799999999999998</v>
      </c>
      <c r="AV50" s="7" t="s">
        <v>80</v>
      </c>
      <c r="AW50" t="s">
        <v>73</v>
      </c>
      <c r="AX50">
        <v>0.05</v>
      </c>
      <c r="AY50">
        <v>2</v>
      </c>
      <c r="AZ50" s="19">
        <f t="shared" si="23"/>
        <v>1.962795497038498</v>
      </c>
      <c r="BA50" s="169">
        <f t="shared" si="16"/>
        <v>1.3349722343978727</v>
      </c>
      <c r="BB50" s="99">
        <f t="shared" si="13"/>
        <v>0.70014742860953705</v>
      </c>
      <c r="BC50" t="s">
        <v>73</v>
      </c>
      <c r="BD50" s="18" t="s">
        <v>73</v>
      </c>
      <c r="BE50" t="s">
        <v>73</v>
      </c>
      <c r="BF50" t="s">
        <v>73</v>
      </c>
      <c r="BG50" s="18">
        <v>40</v>
      </c>
      <c r="BH50" t="s">
        <v>73</v>
      </c>
      <c r="BI50" s="10">
        <v>841</v>
      </c>
      <c r="BJ50" s="10">
        <v>841</v>
      </c>
      <c r="BK50" t="s">
        <v>73</v>
      </c>
      <c r="BL50" t="s">
        <v>73</v>
      </c>
      <c r="BM50">
        <v>0</v>
      </c>
      <c r="BN50">
        <v>0</v>
      </c>
      <c r="BO50" t="s">
        <v>73</v>
      </c>
      <c r="BP50" t="s">
        <v>73</v>
      </c>
      <c r="BQ50" t="s">
        <v>73</v>
      </c>
      <c r="BR50" t="s">
        <v>73</v>
      </c>
      <c r="BS50" t="s">
        <v>73</v>
      </c>
      <c r="BT50" t="s">
        <v>73</v>
      </c>
      <c r="BU50" s="18">
        <v>1</v>
      </c>
      <c r="BV50" s="18">
        <v>1</v>
      </c>
      <c r="BW50" s="18">
        <v>1</v>
      </c>
      <c r="BX50" s="30">
        <f t="shared" si="14"/>
        <v>6.7528109143524445E-2</v>
      </c>
      <c r="BY50" s="30">
        <f t="shared" si="19"/>
        <v>6.7631034648244742E-2</v>
      </c>
      <c r="BZ50" s="30">
        <f t="shared" si="20"/>
        <v>1.190451284427091E-3</v>
      </c>
      <c r="CA50" s="30">
        <f t="shared" si="21"/>
        <v>1.1933174224343676E-3</v>
      </c>
      <c r="CB50" s="95" t="s">
        <v>73</v>
      </c>
      <c r="CC50">
        <f t="shared" si="17"/>
        <v>839</v>
      </c>
      <c r="CD50" s="95" t="s">
        <v>73</v>
      </c>
    </row>
    <row r="51" spans="1:82" s="95" customFormat="1" ht="16">
      <c r="A51" s="11" t="s">
        <v>68</v>
      </c>
      <c r="B51" s="11">
        <v>11</v>
      </c>
      <c r="C51" s="11">
        <v>1031</v>
      </c>
      <c r="D51" s="11">
        <v>106</v>
      </c>
      <c r="E51" s="10" t="s">
        <v>288</v>
      </c>
      <c r="F51" s="11">
        <v>2010</v>
      </c>
      <c r="G51" t="s">
        <v>289</v>
      </c>
      <c r="H51" s="10" t="s">
        <v>290</v>
      </c>
      <c r="I51" s="18">
        <v>2</v>
      </c>
      <c r="J51" s="10">
        <v>2008</v>
      </c>
      <c r="K51" s="10" t="s">
        <v>73</v>
      </c>
      <c r="L51">
        <v>203</v>
      </c>
      <c r="M51" t="s">
        <v>308</v>
      </c>
      <c r="N51" t="s">
        <v>292</v>
      </c>
      <c r="O51" t="s">
        <v>124</v>
      </c>
      <c r="P51" s="18" t="s">
        <v>235</v>
      </c>
      <c r="Q51" t="s">
        <v>236</v>
      </c>
      <c r="R51" t="s">
        <v>237</v>
      </c>
      <c r="S51">
        <v>1</v>
      </c>
      <c r="T51" t="s">
        <v>189</v>
      </c>
      <c r="U51">
        <v>0</v>
      </c>
      <c r="V51" s="18" t="s">
        <v>225</v>
      </c>
      <c r="W51" s="18" t="s">
        <v>225</v>
      </c>
      <c r="X51" s="18" t="s">
        <v>73</v>
      </c>
      <c r="Y51">
        <v>0</v>
      </c>
      <c r="Z51">
        <v>0</v>
      </c>
      <c r="AA51">
        <v>0</v>
      </c>
      <c r="AB51">
        <v>0</v>
      </c>
      <c r="AC51">
        <v>0</v>
      </c>
      <c r="AD51">
        <v>1</v>
      </c>
      <c r="AE51">
        <v>0</v>
      </c>
      <c r="AF51">
        <v>0</v>
      </c>
      <c r="AG51" t="s">
        <v>293</v>
      </c>
      <c r="AH51">
        <v>0</v>
      </c>
      <c r="AI51">
        <v>0</v>
      </c>
      <c r="AJ51">
        <v>0</v>
      </c>
      <c r="AK51">
        <v>0</v>
      </c>
      <c r="AL51">
        <v>0</v>
      </c>
      <c r="AM51">
        <v>0</v>
      </c>
      <c r="AN51">
        <v>1</v>
      </c>
      <c r="AO51">
        <v>0</v>
      </c>
      <c r="AP51">
        <v>0</v>
      </c>
      <c r="AQ51" t="s">
        <v>490</v>
      </c>
      <c r="AR51" t="s">
        <v>227</v>
      </c>
      <c r="AS51" t="s">
        <v>295</v>
      </c>
      <c r="AT51" t="s">
        <v>273</v>
      </c>
      <c r="AU51" s="138">
        <v>1.028</v>
      </c>
      <c r="AV51" s="7" t="s">
        <v>80</v>
      </c>
      <c r="AW51" t="s">
        <v>73</v>
      </c>
      <c r="AX51">
        <v>0.01</v>
      </c>
      <c r="AY51">
        <v>1</v>
      </c>
      <c r="AZ51" s="108">
        <f t="shared" si="23"/>
        <v>2.5817018839793482</v>
      </c>
      <c r="BA51" s="169">
        <f t="shared" si="16"/>
        <v>1.7954693014284624</v>
      </c>
      <c r="BB51" s="99">
        <f t="shared" si="13"/>
        <v>0.73652797043473905</v>
      </c>
      <c r="BC51" t="s">
        <v>73</v>
      </c>
      <c r="BD51" s="18" t="s">
        <v>73</v>
      </c>
      <c r="BE51" t="s">
        <v>73</v>
      </c>
      <c r="BF51" t="s">
        <v>73</v>
      </c>
      <c r="BG51" s="18">
        <v>66</v>
      </c>
      <c r="BH51" t="s">
        <v>73</v>
      </c>
      <c r="BI51" s="10">
        <v>841</v>
      </c>
      <c r="BJ51" s="10">
        <v>841</v>
      </c>
      <c r="BK51" t="s">
        <v>73</v>
      </c>
      <c r="BL51" t="s">
        <v>73</v>
      </c>
      <c r="BM51">
        <v>470.59</v>
      </c>
      <c r="BN51" t="s">
        <v>491</v>
      </c>
      <c r="BO51" t="s">
        <v>73</v>
      </c>
      <c r="BP51" t="s">
        <v>73</v>
      </c>
      <c r="BQ51" t="s">
        <v>73</v>
      </c>
      <c r="BR51" t="s">
        <v>73</v>
      </c>
      <c r="BS51" t="s">
        <v>73</v>
      </c>
      <c r="BT51" t="s">
        <v>73</v>
      </c>
      <c r="BU51" s="18">
        <v>1</v>
      </c>
      <c r="BV51" s="18">
        <v>1</v>
      </c>
      <c r="BW51" s="18">
        <v>1</v>
      </c>
      <c r="BX51" s="30">
        <f t="shared" si="14"/>
        <v>8.8673513868765694E-2</v>
      </c>
      <c r="BY51" s="30">
        <f t="shared" si="19"/>
        <v>8.890702958732373E-2</v>
      </c>
      <c r="BZ51" s="30">
        <f t="shared" si="20"/>
        <v>1.1904018089446793E-3</v>
      </c>
      <c r="CA51" s="30">
        <f t="shared" si="21"/>
        <v>1.1933174224343676E-3</v>
      </c>
      <c r="CB51" s="95" t="s">
        <v>73</v>
      </c>
      <c r="CC51">
        <f t="shared" si="17"/>
        <v>839</v>
      </c>
      <c r="CD51" s="95" t="s">
        <v>73</v>
      </c>
    </row>
    <row r="52" spans="1:82" s="95" customFormat="1" ht="16">
      <c r="A52" s="11" t="s">
        <v>68</v>
      </c>
      <c r="B52" s="11">
        <v>11</v>
      </c>
      <c r="C52" s="11">
        <v>1034</v>
      </c>
      <c r="D52" s="11">
        <v>106</v>
      </c>
      <c r="E52" s="10" t="s">
        <v>288</v>
      </c>
      <c r="F52" s="11">
        <v>2010</v>
      </c>
      <c r="G52" t="s">
        <v>289</v>
      </c>
      <c r="H52" s="10" t="s">
        <v>290</v>
      </c>
      <c r="I52" s="18">
        <v>2</v>
      </c>
      <c r="J52" s="10">
        <v>2008</v>
      </c>
      <c r="K52" s="10" t="s">
        <v>73</v>
      </c>
      <c r="L52">
        <v>203</v>
      </c>
      <c r="M52" t="s">
        <v>308</v>
      </c>
      <c r="N52" t="s">
        <v>292</v>
      </c>
      <c r="O52" t="s">
        <v>124</v>
      </c>
      <c r="P52" s="18" t="s">
        <v>235</v>
      </c>
      <c r="Q52" t="s">
        <v>236</v>
      </c>
      <c r="R52" t="s">
        <v>237</v>
      </c>
      <c r="S52">
        <v>1</v>
      </c>
      <c r="T52" t="s">
        <v>189</v>
      </c>
      <c r="U52">
        <v>0</v>
      </c>
      <c r="V52" s="18" t="s">
        <v>225</v>
      </c>
      <c r="W52" s="18" t="s">
        <v>225</v>
      </c>
      <c r="X52" s="18" t="s">
        <v>73</v>
      </c>
      <c r="Y52">
        <v>0</v>
      </c>
      <c r="Z52">
        <v>0</v>
      </c>
      <c r="AA52">
        <v>0</v>
      </c>
      <c r="AB52">
        <v>0</v>
      </c>
      <c r="AC52">
        <v>0</v>
      </c>
      <c r="AD52">
        <v>1</v>
      </c>
      <c r="AE52">
        <v>0</v>
      </c>
      <c r="AF52">
        <v>0</v>
      </c>
      <c r="AG52" t="s">
        <v>293</v>
      </c>
      <c r="AH52">
        <v>0</v>
      </c>
      <c r="AI52">
        <v>0</v>
      </c>
      <c r="AJ52">
        <v>0</v>
      </c>
      <c r="AK52">
        <v>0</v>
      </c>
      <c r="AL52">
        <v>0</v>
      </c>
      <c r="AM52">
        <v>0</v>
      </c>
      <c r="AN52">
        <v>1</v>
      </c>
      <c r="AO52">
        <v>0</v>
      </c>
      <c r="AP52">
        <v>0</v>
      </c>
      <c r="AQ52" t="s">
        <v>490</v>
      </c>
      <c r="AR52" t="s">
        <v>227</v>
      </c>
      <c r="AS52" t="s">
        <v>295</v>
      </c>
      <c r="AT52" t="s">
        <v>273</v>
      </c>
      <c r="AU52" s="138">
        <v>1.034</v>
      </c>
      <c r="AV52" s="7" t="s">
        <v>80</v>
      </c>
      <c r="AW52" t="s">
        <v>73</v>
      </c>
      <c r="AX52">
        <v>0.01</v>
      </c>
      <c r="AY52">
        <v>1</v>
      </c>
      <c r="AZ52" s="108">
        <f t="shared" si="23"/>
        <v>2.5817018839793482</v>
      </c>
      <c r="BA52" s="169">
        <f t="shared" si="16"/>
        <v>1.8122925364724907</v>
      </c>
      <c r="BB52" s="99">
        <f t="shared" si="13"/>
        <v>0.73769064403297369</v>
      </c>
      <c r="BC52" t="s">
        <v>73</v>
      </c>
      <c r="BD52" s="18" t="s">
        <v>73</v>
      </c>
      <c r="BE52" t="s">
        <v>73</v>
      </c>
      <c r="BF52" t="s">
        <v>73</v>
      </c>
      <c r="BG52" s="18">
        <v>60</v>
      </c>
      <c r="BH52" t="s">
        <v>73</v>
      </c>
      <c r="BI52" s="10">
        <v>841</v>
      </c>
      <c r="BJ52" s="10">
        <v>841</v>
      </c>
      <c r="BK52" t="s">
        <v>73</v>
      </c>
      <c r="BL52" t="s">
        <v>73</v>
      </c>
      <c r="BM52">
        <v>470.59</v>
      </c>
      <c r="BN52" t="s">
        <v>491</v>
      </c>
      <c r="BO52" t="s">
        <v>73</v>
      </c>
      <c r="BP52" t="s">
        <v>73</v>
      </c>
      <c r="BQ52" t="s">
        <v>73</v>
      </c>
      <c r="BR52" t="s">
        <v>73</v>
      </c>
      <c r="BS52" t="s">
        <v>73</v>
      </c>
      <c r="BT52" t="s">
        <v>73</v>
      </c>
      <c r="BU52" s="18">
        <v>1</v>
      </c>
      <c r="BV52" s="18">
        <v>1</v>
      </c>
      <c r="BW52" s="18">
        <v>1</v>
      </c>
      <c r="BX52" s="30">
        <f t="shared" si="14"/>
        <v>8.8673513868765694E-2</v>
      </c>
      <c r="BY52" s="30">
        <f t="shared" si="19"/>
        <v>8.890702958732373E-2</v>
      </c>
      <c r="BZ52" s="30">
        <f t="shared" si="20"/>
        <v>1.1904018089446793E-3</v>
      </c>
      <c r="CA52" s="30">
        <f t="shared" si="21"/>
        <v>1.1933174224343676E-3</v>
      </c>
      <c r="CB52" s="95" t="s">
        <v>73</v>
      </c>
      <c r="CC52">
        <f t="shared" si="17"/>
        <v>839</v>
      </c>
      <c r="CD52" s="95" t="s">
        <v>73</v>
      </c>
    </row>
    <row r="53" spans="1:82" s="100" customFormat="1" ht="16">
      <c r="A53" s="11" t="s">
        <v>68</v>
      </c>
      <c r="B53" s="11">
        <v>11</v>
      </c>
      <c r="C53" s="11">
        <v>1025</v>
      </c>
      <c r="D53" s="11">
        <v>106</v>
      </c>
      <c r="E53" s="10" t="s">
        <v>288</v>
      </c>
      <c r="F53" s="11">
        <v>2010</v>
      </c>
      <c r="G53" t="s">
        <v>289</v>
      </c>
      <c r="H53" s="10" t="s">
        <v>290</v>
      </c>
      <c r="I53" s="18">
        <v>2</v>
      </c>
      <c r="J53" s="10">
        <v>2008</v>
      </c>
      <c r="K53" s="10" t="s">
        <v>73</v>
      </c>
      <c r="L53">
        <v>201</v>
      </c>
      <c r="M53" t="s">
        <v>308</v>
      </c>
      <c r="N53" t="s">
        <v>292</v>
      </c>
      <c r="O53" t="s">
        <v>124</v>
      </c>
      <c r="P53" s="18" t="s">
        <v>235</v>
      </c>
      <c r="Q53" t="s">
        <v>236</v>
      </c>
      <c r="R53" t="s">
        <v>237</v>
      </c>
      <c r="S53">
        <v>1</v>
      </c>
      <c r="T53" t="s">
        <v>189</v>
      </c>
      <c r="U53">
        <v>0</v>
      </c>
      <c r="V53" s="18" t="s">
        <v>225</v>
      </c>
      <c r="W53" s="18" t="s">
        <v>225</v>
      </c>
      <c r="X53" s="18" t="s">
        <v>73</v>
      </c>
      <c r="Y53">
        <v>0</v>
      </c>
      <c r="Z53">
        <v>0</v>
      </c>
      <c r="AA53">
        <v>0</v>
      </c>
      <c r="AB53">
        <v>0</v>
      </c>
      <c r="AC53">
        <v>0</v>
      </c>
      <c r="AD53">
        <v>1</v>
      </c>
      <c r="AE53">
        <v>0</v>
      </c>
      <c r="AF53">
        <v>0</v>
      </c>
      <c r="AG53" t="s">
        <v>293</v>
      </c>
      <c r="AH53">
        <v>0</v>
      </c>
      <c r="AI53">
        <v>0</v>
      </c>
      <c r="AJ53">
        <v>0</v>
      </c>
      <c r="AK53">
        <v>0</v>
      </c>
      <c r="AL53">
        <v>0</v>
      </c>
      <c r="AM53">
        <v>0</v>
      </c>
      <c r="AN53">
        <v>1</v>
      </c>
      <c r="AO53">
        <v>0</v>
      </c>
      <c r="AP53">
        <v>0</v>
      </c>
      <c r="AQ53" t="s">
        <v>490</v>
      </c>
      <c r="AR53" t="s">
        <v>227</v>
      </c>
      <c r="AS53" t="s">
        <v>295</v>
      </c>
      <c r="AT53" t="s">
        <v>273</v>
      </c>
      <c r="AU53" s="138">
        <v>1.6839999999999999</v>
      </c>
      <c r="AV53" s="7" t="s">
        <v>80</v>
      </c>
      <c r="AW53" t="s">
        <v>73</v>
      </c>
      <c r="AX53">
        <v>0.01</v>
      </c>
      <c r="AY53">
        <v>1</v>
      </c>
      <c r="AZ53" s="19">
        <f t="shared" si="23"/>
        <v>2.5817018839793482</v>
      </c>
      <c r="BA53" s="169">
        <f t="shared" si="16"/>
        <v>4.3870611767441066</v>
      </c>
      <c r="BB53" s="99">
        <f t="shared" si="13"/>
        <v>0.84343347083615006</v>
      </c>
      <c r="BC53" t="s">
        <v>73</v>
      </c>
      <c r="BD53" s="18" t="s">
        <v>73</v>
      </c>
      <c r="BE53" t="s">
        <v>73</v>
      </c>
      <c r="BF53" t="s">
        <v>73</v>
      </c>
      <c r="BG53" s="18">
        <v>48</v>
      </c>
      <c r="BH53" t="s">
        <v>73</v>
      </c>
      <c r="BI53" s="10">
        <v>841</v>
      </c>
      <c r="BJ53" s="10">
        <v>841</v>
      </c>
      <c r="BK53" t="s">
        <v>73</v>
      </c>
      <c r="BL53" t="s">
        <v>73</v>
      </c>
      <c r="BM53">
        <v>470.59</v>
      </c>
      <c r="BN53" t="s">
        <v>491</v>
      </c>
      <c r="BO53" t="s">
        <v>73</v>
      </c>
      <c r="BP53" t="s">
        <v>73</v>
      </c>
      <c r="BQ53" t="s">
        <v>73</v>
      </c>
      <c r="BR53" t="s">
        <v>73</v>
      </c>
      <c r="BS53" t="s">
        <v>73</v>
      </c>
      <c r="BT53" t="s">
        <v>73</v>
      </c>
      <c r="BU53" s="18">
        <v>1</v>
      </c>
      <c r="BV53" s="18">
        <v>1</v>
      </c>
      <c r="BW53" s="18">
        <v>1</v>
      </c>
      <c r="BX53" s="30">
        <f t="shared" si="14"/>
        <v>8.8673513868765694E-2</v>
      </c>
      <c r="BY53" s="30">
        <f t="shared" si="19"/>
        <v>8.890702958732373E-2</v>
      </c>
      <c r="BZ53" s="30">
        <f t="shared" si="20"/>
        <v>1.1904018089446793E-3</v>
      </c>
      <c r="CA53" s="30">
        <f t="shared" si="21"/>
        <v>1.1933174224343676E-3</v>
      </c>
      <c r="CB53" s="95" t="s">
        <v>73</v>
      </c>
      <c r="CC53">
        <f t="shared" si="17"/>
        <v>839</v>
      </c>
      <c r="CD53" s="95" t="s">
        <v>73</v>
      </c>
    </row>
    <row r="54" spans="1:82" s="100" customFormat="1" ht="16">
      <c r="A54" s="11" t="s">
        <v>68</v>
      </c>
      <c r="B54" s="11">
        <v>11</v>
      </c>
      <c r="C54" s="11">
        <v>1022</v>
      </c>
      <c r="D54" s="11">
        <v>106</v>
      </c>
      <c r="E54" s="10" t="s">
        <v>288</v>
      </c>
      <c r="F54" s="11">
        <v>2010</v>
      </c>
      <c r="G54" t="s">
        <v>289</v>
      </c>
      <c r="H54" s="10" t="s">
        <v>290</v>
      </c>
      <c r="I54" s="18">
        <v>2</v>
      </c>
      <c r="J54" s="10">
        <v>2008</v>
      </c>
      <c r="K54" s="10" t="s">
        <v>73</v>
      </c>
      <c r="L54">
        <v>201</v>
      </c>
      <c r="M54" t="s">
        <v>308</v>
      </c>
      <c r="N54" t="s">
        <v>292</v>
      </c>
      <c r="O54" t="s">
        <v>124</v>
      </c>
      <c r="P54" s="18" t="s">
        <v>235</v>
      </c>
      <c r="Q54" t="s">
        <v>236</v>
      </c>
      <c r="R54" t="s">
        <v>237</v>
      </c>
      <c r="S54">
        <v>1</v>
      </c>
      <c r="T54" t="s">
        <v>189</v>
      </c>
      <c r="U54">
        <v>0</v>
      </c>
      <c r="V54" s="18" t="s">
        <v>225</v>
      </c>
      <c r="W54" s="18" t="s">
        <v>225</v>
      </c>
      <c r="X54" s="18" t="s">
        <v>73</v>
      </c>
      <c r="Y54">
        <v>0</v>
      </c>
      <c r="Z54">
        <v>0</v>
      </c>
      <c r="AA54">
        <v>0</v>
      </c>
      <c r="AB54">
        <v>0</v>
      </c>
      <c r="AC54">
        <v>0</v>
      </c>
      <c r="AD54">
        <v>1</v>
      </c>
      <c r="AE54">
        <v>0</v>
      </c>
      <c r="AF54">
        <v>0</v>
      </c>
      <c r="AG54" t="s">
        <v>293</v>
      </c>
      <c r="AH54">
        <v>0</v>
      </c>
      <c r="AI54">
        <v>0</v>
      </c>
      <c r="AJ54">
        <v>0</v>
      </c>
      <c r="AK54">
        <v>0</v>
      </c>
      <c r="AL54">
        <v>0</v>
      </c>
      <c r="AM54">
        <v>0</v>
      </c>
      <c r="AN54">
        <v>1</v>
      </c>
      <c r="AO54">
        <v>0</v>
      </c>
      <c r="AP54">
        <v>0</v>
      </c>
      <c r="AQ54" t="s">
        <v>490</v>
      </c>
      <c r="AR54" t="s">
        <v>227</v>
      </c>
      <c r="AS54" t="s">
        <v>295</v>
      </c>
      <c r="AT54" t="s">
        <v>273</v>
      </c>
      <c r="AU54" s="138">
        <v>1.6879999999999999</v>
      </c>
      <c r="AV54" s="7" t="s">
        <v>80</v>
      </c>
      <c r="AW54" t="s">
        <v>73</v>
      </c>
      <c r="AX54">
        <v>0.01</v>
      </c>
      <c r="AY54">
        <v>1</v>
      </c>
      <c r="AZ54" s="19">
        <f t="shared" si="23"/>
        <v>2.5817018839793482</v>
      </c>
      <c r="BA54" s="169">
        <f t="shared" si="16"/>
        <v>4.4086525754599908</v>
      </c>
      <c r="BB54" s="99">
        <f t="shared" si="13"/>
        <v>0.84396095930848247</v>
      </c>
      <c r="BC54" t="s">
        <v>73</v>
      </c>
      <c r="BD54" s="18" t="s">
        <v>73</v>
      </c>
      <c r="BE54" t="s">
        <v>73</v>
      </c>
      <c r="BF54" t="s">
        <v>73</v>
      </c>
      <c r="BG54" s="18">
        <v>54</v>
      </c>
      <c r="BH54" t="s">
        <v>73</v>
      </c>
      <c r="BI54" s="10">
        <v>841</v>
      </c>
      <c r="BJ54" s="10">
        <v>841</v>
      </c>
      <c r="BK54" t="s">
        <v>73</v>
      </c>
      <c r="BL54" t="s">
        <v>73</v>
      </c>
      <c r="BM54">
        <v>470.59</v>
      </c>
      <c r="BN54" t="s">
        <v>491</v>
      </c>
      <c r="BO54" t="s">
        <v>73</v>
      </c>
      <c r="BP54" t="s">
        <v>73</v>
      </c>
      <c r="BQ54" t="s">
        <v>73</v>
      </c>
      <c r="BR54" t="s">
        <v>73</v>
      </c>
      <c r="BS54" t="s">
        <v>73</v>
      </c>
      <c r="BT54" t="s">
        <v>73</v>
      </c>
      <c r="BU54" s="18">
        <v>1</v>
      </c>
      <c r="BV54" s="18">
        <v>1</v>
      </c>
      <c r="BW54" s="18">
        <v>1</v>
      </c>
      <c r="BX54" s="30">
        <f t="shared" si="14"/>
        <v>8.8673513868765694E-2</v>
      </c>
      <c r="BY54" s="30">
        <f t="shared" si="19"/>
        <v>8.890702958732373E-2</v>
      </c>
      <c r="BZ54" s="30">
        <f t="shared" si="20"/>
        <v>1.1904018089446793E-3</v>
      </c>
      <c r="CA54" s="30">
        <f t="shared" si="21"/>
        <v>1.1933174224343676E-3</v>
      </c>
      <c r="CB54" s="95" t="s">
        <v>73</v>
      </c>
      <c r="CC54">
        <f t="shared" si="17"/>
        <v>839</v>
      </c>
      <c r="CD54" s="95" t="s">
        <v>73</v>
      </c>
    </row>
    <row r="55" spans="1:82" s="100" customFormat="1" ht="16">
      <c r="A55" s="11" t="s">
        <v>68</v>
      </c>
      <c r="B55" s="11">
        <v>11</v>
      </c>
      <c r="C55" s="11">
        <v>1028</v>
      </c>
      <c r="D55" s="11">
        <v>106</v>
      </c>
      <c r="E55" s="10" t="s">
        <v>288</v>
      </c>
      <c r="F55" s="11">
        <v>2010</v>
      </c>
      <c r="G55" t="s">
        <v>289</v>
      </c>
      <c r="H55" s="10" t="s">
        <v>290</v>
      </c>
      <c r="I55" s="18">
        <v>2</v>
      </c>
      <c r="J55" s="10">
        <v>2008</v>
      </c>
      <c r="K55" s="10" t="s">
        <v>73</v>
      </c>
      <c r="L55">
        <v>203</v>
      </c>
      <c r="M55" t="s">
        <v>291</v>
      </c>
      <c r="N55" t="s">
        <v>292</v>
      </c>
      <c r="O55" t="s">
        <v>124</v>
      </c>
      <c r="P55" s="18" t="s">
        <v>235</v>
      </c>
      <c r="Q55" t="s">
        <v>236</v>
      </c>
      <c r="R55" t="s">
        <v>237</v>
      </c>
      <c r="S55">
        <v>1</v>
      </c>
      <c r="T55" t="s">
        <v>189</v>
      </c>
      <c r="U55">
        <v>0</v>
      </c>
      <c r="V55" s="18" t="s">
        <v>225</v>
      </c>
      <c r="W55" s="18" t="s">
        <v>225</v>
      </c>
      <c r="X55" s="18" t="s">
        <v>73</v>
      </c>
      <c r="Y55">
        <v>0</v>
      </c>
      <c r="Z55">
        <v>0</v>
      </c>
      <c r="AA55">
        <v>0</v>
      </c>
      <c r="AB55">
        <v>0</v>
      </c>
      <c r="AC55">
        <v>0</v>
      </c>
      <c r="AD55">
        <v>1</v>
      </c>
      <c r="AE55">
        <v>0</v>
      </c>
      <c r="AF55">
        <v>0</v>
      </c>
      <c r="AG55" t="s">
        <v>293</v>
      </c>
      <c r="AH55">
        <v>0</v>
      </c>
      <c r="AI55">
        <v>0</v>
      </c>
      <c r="AJ55">
        <v>0</v>
      </c>
      <c r="AK55">
        <v>0</v>
      </c>
      <c r="AL55">
        <v>0</v>
      </c>
      <c r="AM55">
        <v>0</v>
      </c>
      <c r="AN55">
        <v>1</v>
      </c>
      <c r="AO55">
        <v>0</v>
      </c>
      <c r="AP55">
        <v>0</v>
      </c>
      <c r="AQ55" t="s">
        <v>490</v>
      </c>
      <c r="AR55" t="s">
        <v>227</v>
      </c>
      <c r="AS55" t="s">
        <v>295</v>
      </c>
      <c r="AT55" t="s">
        <v>273</v>
      </c>
      <c r="AU55" s="138">
        <v>1.8759999999999999</v>
      </c>
      <c r="AV55" s="7" t="s">
        <v>80</v>
      </c>
      <c r="AW55" t="s">
        <v>73</v>
      </c>
      <c r="AX55">
        <v>0.01</v>
      </c>
      <c r="AY55">
        <v>1</v>
      </c>
      <c r="AZ55">
        <f t="shared" si="23"/>
        <v>2.5817018839793482</v>
      </c>
      <c r="BA55" s="169">
        <f t="shared" si="16"/>
        <v>5.5273432009470769</v>
      </c>
      <c r="BB55" s="99">
        <f t="shared" si="13"/>
        <v>0.86715100224549591</v>
      </c>
      <c r="BC55" t="s">
        <v>73</v>
      </c>
      <c r="BD55" s="18" t="s">
        <v>73</v>
      </c>
      <c r="BE55" t="s">
        <v>73</v>
      </c>
      <c r="BF55" t="s">
        <v>73</v>
      </c>
      <c r="BG55" s="18">
        <v>40</v>
      </c>
      <c r="BH55" t="s">
        <v>73</v>
      </c>
      <c r="BI55" s="10">
        <v>841</v>
      </c>
      <c r="BJ55" s="10">
        <v>841</v>
      </c>
      <c r="BK55" t="s">
        <v>73</v>
      </c>
      <c r="BL55" t="s">
        <v>73</v>
      </c>
      <c r="BM55">
        <v>470.59</v>
      </c>
      <c r="BN55" t="s">
        <v>491</v>
      </c>
      <c r="BO55" t="s">
        <v>73</v>
      </c>
      <c r="BP55" t="s">
        <v>73</v>
      </c>
      <c r="BQ55" t="s">
        <v>73</v>
      </c>
      <c r="BR55" t="s">
        <v>73</v>
      </c>
      <c r="BS55" t="s">
        <v>73</v>
      </c>
      <c r="BT55" t="s">
        <v>73</v>
      </c>
      <c r="BU55" s="18">
        <v>1</v>
      </c>
      <c r="BV55" s="18">
        <v>1</v>
      </c>
      <c r="BW55" s="18">
        <v>1</v>
      </c>
      <c r="BX55" s="30">
        <f t="shared" si="14"/>
        <v>8.8673513868765694E-2</v>
      </c>
      <c r="BY55" s="30">
        <f t="shared" si="19"/>
        <v>8.890702958732373E-2</v>
      </c>
      <c r="BZ55" s="30">
        <f t="shared" si="20"/>
        <v>1.1904018089446793E-3</v>
      </c>
      <c r="CA55" s="30">
        <f t="shared" si="21"/>
        <v>1.1933174224343676E-3</v>
      </c>
      <c r="CB55" s="95" t="s">
        <v>73</v>
      </c>
      <c r="CC55">
        <f t="shared" si="17"/>
        <v>839</v>
      </c>
      <c r="CD55" s="95" t="s">
        <v>73</v>
      </c>
    </row>
    <row r="56" spans="1:82" s="100" customFormat="1" ht="16">
      <c r="A56" s="11" t="s">
        <v>68</v>
      </c>
      <c r="B56" s="11">
        <v>12</v>
      </c>
      <c r="C56" s="105">
        <v>1149</v>
      </c>
      <c r="D56" s="106">
        <v>133</v>
      </c>
      <c r="E56" t="s">
        <v>505</v>
      </c>
      <c r="F56" s="105">
        <v>2019</v>
      </c>
      <c r="G56" t="s">
        <v>506</v>
      </c>
      <c r="H56" t="s">
        <v>507</v>
      </c>
      <c r="I56" s="106">
        <v>2</v>
      </c>
      <c r="J56">
        <v>2016</v>
      </c>
      <c r="K56" s="105" t="s">
        <v>73</v>
      </c>
      <c r="L56" s="106">
        <v>31</v>
      </c>
      <c r="M56" s="106" t="s">
        <v>306</v>
      </c>
      <c r="N56" t="s">
        <v>259</v>
      </c>
      <c r="O56" t="s">
        <v>138</v>
      </c>
      <c r="P56" t="s">
        <v>269</v>
      </c>
      <c r="Q56" t="s">
        <v>260</v>
      </c>
      <c r="R56" t="s">
        <v>270</v>
      </c>
      <c r="S56">
        <v>1</v>
      </c>
      <c r="T56" s="32" t="s">
        <v>324</v>
      </c>
      <c r="U56">
        <v>1</v>
      </c>
      <c r="V56" s="105" t="s">
        <v>225</v>
      </c>
      <c r="W56" s="105" t="s">
        <v>225</v>
      </c>
      <c r="X56" s="105" t="s">
        <v>73</v>
      </c>
      <c r="Y56" s="106">
        <v>1</v>
      </c>
      <c r="Z56" s="106">
        <v>0</v>
      </c>
      <c r="AA56" s="106">
        <v>0</v>
      </c>
      <c r="AB56" s="106">
        <v>0</v>
      </c>
      <c r="AC56" s="106">
        <v>0</v>
      </c>
      <c r="AD56" s="106">
        <v>0</v>
      </c>
      <c r="AE56" s="106">
        <v>0</v>
      </c>
      <c r="AF56" s="106">
        <v>0</v>
      </c>
      <c r="AG56" s="106" t="s">
        <v>508</v>
      </c>
      <c r="AH56" s="106">
        <v>0</v>
      </c>
      <c r="AI56" s="106">
        <v>0</v>
      </c>
      <c r="AJ56" s="106">
        <v>0</v>
      </c>
      <c r="AK56" s="106">
        <v>0</v>
      </c>
      <c r="AL56" s="106">
        <v>1</v>
      </c>
      <c r="AM56" s="106">
        <v>0</v>
      </c>
      <c r="AN56" s="106">
        <v>0</v>
      </c>
      <c r="AO56" s="106">
        <v>0</v>
      </c>
      <c r="AP56" s="106">
        <v>0</v>
      </c>
      <c r="AQ56" t="s">
        <v>73</v>
      </c>
      <c r="AR56" t="s">
        <v>227</v>
      </c>
      <c r="AS56" t="s">
        <v>509</v>
      </c>
      <c r="AT56" t="s">
        <v>510</v>
      </c>
      <c r="AU56" s="49">
        <v>1.33</v>
      </c>
      <c r="AV56" s="7" t="s">
        <v>80</v>
      </c>
      <c r="AW56" t="s">
        <v>73</v>
      </c>
      <c r="AX56">
        <v>0.01</v>
      </c>
      <c r="AY56">
        <v>2</v>
      </c>
      <c r="AZ56" s="19">
        <f t="shared" si="23"/>
        <v>2.5840895721013624</v>
      </c>
      <c r="BA56" s="170" t="s">
        <v>73</v>
      </c>
      <c r="BB56" s="171"/>
      <c r="BC56" s="108" t="s">
        <v>73</v>
      </c>
      <c r="BD56" s="108" t="s">
        <v>73</v>
      </c>
      <c r="BE56" s="108" t="s">
        <v>73</v>
      </c>
      <c r="BF56" s="108" t="s">
        <v>73</v>
      </c>
      <c r="BG56" s="108" t="s">
        <v>73</v>
      </c>
      <c r="BH56" s="108" t="s">
        <v>73</v>
      </c>
      <c r="BI56" s="106">
        <v>599</v>
      </c>
      <c r="BJ56" s="106">
        <v>599</v>
      </c>
      <c r="BK56" s="106" t="s">
        <v>73</v>
      </c>
      <c r="BL56" s="106" t="s">
        <v>73</v>
      </c>
      <c r="BM56" s="106" t="s">
        <v>73</v>
      </c>
      <c r="BN56" s="106" t="s">
        <v>73</v>
      </c>
      <c r="BO56" s="106" t="s">
        <v>73</v>
      </c>
      <c r="BP56" s="106" t="s">
        <v>73</v>
      </c>
      <c r="BQ56" s="106" t="s">
        <v>73</v>
      </c>
      <c r="BR56" s="106" t="s">
        <v>73</v>
      </c>
      <c r="BS56" s="106" t="s">
        <v>73</v>
      </c>
      <c r="BT56" s="106" t="s">
        <v>73</v>
      </c>
      <c r="BU56" s="106">
        <v>0</v>
      </c>
      <c r="BV56" s="106">
        <v>0</v>
      </c>
      <c r="BW56" s="106">
        <v>1</v>
      </c>
      <c r="BX56" s="30">
        <f t="shared" si="14"/>
        <v>0.10499940460515129</v>
      </c>
      <c r="BY56" s="30">
        <f t="shared" si="19"/>
        <v>0.10538784580628262</v>
      </c>
      <c r="BZ56" s="30">
        <f t="shared" si="20"/>
        <v>1.6720345208693912E-3</v>
      </c>
      <c r="CA56" s="30">
        <f t="shared" si="21"/>
        <v>1.6778523489932886E-3</v>
      </c>
      <c r="CB56" s="95" t="s">
        <v>73</v>
      </c>
      <c r="CC56">
        <f t="shared" si="17"/>
        <v>597</v>
      </c>
      <c r="CD56" s="95" t="s">
        <v>73</v>
      </c>
    </row>
    <row r="57" spans="1:82" s="100" customFormat="1" ht="16">
      <c r="A57" s="11" t="s">
        <v>68</v>
      </c>
      <c r="B57" s="11">
        <v>12</v>
      </c>
      <c r="C57" s="105">
        <v>1150</v>
      </c>
      <c r="D57" s="106">
        <v>133</v>
      </c>
      <c r="E57" t="s">
        <v>505</v>
      </c>
      <c r="F57" s="105">
        <v>2019</v>
      </c>
      <c r="G57" t="s">
        <v>506</v>
      </c>
      <c r="H57" t="s">
        <v>507</v>
      </c>
      <c r="I57" s="106">
        <v>2</v>
      </c>
      <c r="J57">
        <v>2016</v>
      </c>
      <c r="K57" s="105" t="s">
        <v>73</v>
      </c>
      <c r="L57" s="106">
        <v>31</v>
      </c>
      <c r="M57" s="106" t="s">
        <v>306</v>
      </c>
      <c r="N57" t="s">
        <v>259</v>
      </c>
      <c r="O57" t="s">
        <v>138</v>
      </c>
      <c r="P57" t="s">
        <v>269</v>
      </c>
      <c r="Q57" t="s">
        <v>260</v>
      </c>
      <c r="R57" t="s">
        <v>270</v>
      </c>
      <c r="S57">
        <v>1</v>
      </c>
      <c r="T57" s="32" t="s">
        <v>324</v>
      </c>
      <c r="U57">
        <v>1</v>
      </c>
      <c r="V57" s="105" t="s">
        <v>225</v>
      </c>
      <c r="W57" s="105" t="s">
        <v>225</v>
      </c>
      <c r="X57" s="105" t="s">
        <v>73</v>
      </c>
      <c r="Y57" s="106">
        <v>1</v>
      </c>
      <c r="Z57" s="106">
        <v>0</v>
      </c>
      <c r="AA57" s="106">
        <v>0</v>
      </c>
      <c r="AB57" s="106">
        <v>0</v>
      </c>
      <c r="AC57" s="106">
        <v>0</v>
      </c>
      <c r="AD57" s="106">
        <v>0</v>
      </c>
      <c r="AE57" s="106">
        <v>0</v>
      </c>
      <c r="AF57" s="106">
        <v>0</v>
      </c>
      <c r="AG57" s="106" t="s">
        <v>521</v>
      </c>
      <c r="AH57" s="106">
        <v>0</v>
      </c>
      <c r="AI57" s="106">
        <v>0</v>
      </c>
      <c r="AJ57" s="106">
        <v>0</v>
      </c>
      <c r="AK57" s="106">
        <v>0</v>
      </c>
      <c r="AL57" s="106">
        <v>1</v>
      </c>
      <c r="AM57" s="106">
        <v>0</v>
      </c>
      <c r="AN57" s="106">
        <v>0</v>
      </c>
      <c r="AO57" s="106">
        <v>0</v>
      </c>
      <c r="AP57" s="106">
        <v>0</v>
      </c>
      <c r="AQ57" t="s">
        <v>73</v>
      </c>
      <c r="AR57" t="s">
        <v>227</v>
      </c>
      <c r="AS57" t="s">
        <v>509</v>
      </c>
      <c r="AT57" t="s">
        <v>510</v>
      </c>
      <c r="AU57" s="49">
        <v>2.82</v>
      </c>
      <c r="AV57" s="7" t="s">
        <v>80</v>
      </c>
      <c r="AW57" t="s">
        <v>73</v>
      </c>
      <c r="AX57">
        <v>1E-3</v>
      </c>
      <c r="AY57">
        <v>1</v>
      </c>
      <c r="AZ57" s="19">
        <f t="shared" si="23"/>
        <v>3.3068980114241935</v>
      </c>
      <c r="BA57" s="170" t="s">
        <v>73</v>
      </c>
      <c r="BB57" s="171"/>
      <c r="BC57" s="108" t="s">
        <v>73</v>
      </c>
      <c r="BD57" s="108" t="s">
        <v>73</v>
      </c>
      <c r="BE57" s="108" t="s">
        <v>73</v>
      </c>
      <c r="BF57" s="108" t="s">
        <v>73</v>
      </c>
      <c r="BG57" s="108" t="s">
        <v>73</v>
      </c>
      <c r="BH57" s="108" t="s">
        <v>73</v>
      </c>
      <c r="BI57" s="106">
        <v>599</v>
      </c>
      <c r="BJ57" s="106">
        <v>599</v>
      </c>
      <c r="BK57" s="106" t="s">
        <v>73</v>
      </c>
      <c r="BL57" s="106" t="s">
        <v>73</v>
      </c>
      <c r="BM57" s="106" t="s">
        <v>73</v>
      </c>
      <c r="BN57" s="106" t="s">
        <v>73</v>
      </c>
      <c r="BO57" s="106" t="s">
        <v>73</v>
      </c>
      <c r="BP57" s="106" t="s">
        <v>73</v>
      </c>
      <c r="BQ57" s="106" t="s">
        <v>73</v>
      </c>
      <c r="BR57" s="106" t="s">
        <v>73</v>
      </c>
      <c r="BS57" s="106" t="s">
        <v>73</v>
      </c>
      <c r="BT57" s="106" t="s">
        <v>73</v>
      </c>
      <c r="BU57" s="106">
        <v>0</v>
      </c>
      <c r="BV57" s="106">
        <v>0</v>
      </c>
      <c r="BW57" s="106">
        <v>1</v>
      </c>
      <c r="BX57" s="30">
        <f t="shared" si="14"/>
        <v>0.13389945792371422</v>
      </c>
      <c r="BY57" s="30">
        <f t="shared" si="19"/>
        <v>0.13470840884771776</v>
      </c>
      <c r="BZ57" s="30">
        <f t="shared" si="20"/>
        <v>1.6716901501424388E-3</v>
      </c>
      <c r="CA57" s="30">
        <f t="shared" si="21"/>
        <v>1.6778523489932886E-3</v>
      </c>
      <c r="CB57" s="95" t="s">
        <v>73</v>
      </c>
      <c r="CC57">
        <f t="shared" si="17"/>
        <v>597</v>
      </c>
      <c r="CD57" s="95" t="s">
        <v>73</v>
      </c>
    </row>
    <row r="58" spans="1:82" s="100" customFormat="1" ht="16">
      <c r="A58" s="11" t="s">
        <v>68</v>
      </c>
      <c r="B58" s="11">
        <v>12</v>
      </c>
      <c r="C58" s="105">
        <v>1151</v>
      </c>
      <c r="D58" s="106">
        <v>133</v>
      </c>
      <c r="E58" t="s">
        <v>505</v>
      </c>
      <c r="F58" s="105">
        <v>2019</v>
      </c>
      <c r="G58" t="s">
        <v>506</v>
      </c>
      <c r="H58" t="s">
        <v>507</v>
      </c>
      <c r="I58" s="106">
        <v>2</v>
      </c>
      <c r="J58">
        <v>2016</v>
      </c>
      <c r="K58" s="105" t="s">
        <v>73</v>
      </c>
      <c r="L58" s="106">
        <v>31</v>
      </c>
      <c r="M58" s="106" t="s">
        <v>306</v>
      </c>
      <c r="N58" t="s">
        <v>259</v>
      </c>
      <c r="O58" t="s">
        <v>138</v>
      </c>
      <c r="P58" t="s">
        <v>269</v>
      </c>
      <c r="Q58" t="s">
        <v>260</v>
      </c>
      <c r="R58" t="s">
        <v>270</v>
      </c>
      <c r="S58">
        <v>1</v>
      </c>
      <c r="T58" s="32" t="s">
        <v>324</v>
      </c>
      <c r="U58">
        <v>1</v>
      </c>
      <c r="V58" s="105" t="s">
        <v>225</v>
      </c>
      <c r="W58" s="105" t="s">
        <v>225</v>
      </c>
      <c r="X58" s="105" t="s">
        <v>73</v>
      </c>
      <c r="Y58" s="106">
        <v>1</v>
      </c>
      <c r="Z58" s="106">
        <v>1</v>
      </c>
      <c r="AA58" s="106">
        <v>0</v>
      </c>
      <c r="AB58" s="106">
        <v>0</v>
      </c>
      <c r="AC58" s="106">
        <v>0</v>
      </c>
      <c r="AD58" s="106">
        <v>0</v>
      </c>
      <c r="AE58" s="106">
        <v>0</v>
      </c>
      <c r="AF58" s="106">
        <v>0</v>
      </c>
      <c r="AG58" s="106" t="s">
        <v>522</v>
      </c>
      <c r="AH58" s="106">
        <v>0</v>
      </c>
      <c r="AI58" s="106">
        <v>0</v>
      </c>
      <c r="AJ58" s="106">
        <v>0</v>
      </c>
      <c r="AK58" s="106">
        <v>0</v>
      </c>
      <c r="AL58" s="106">
        <v>1</v>
      </c>
      <c r="AM58" s="106">
        <v>0</v>
      </c>
      <c r="AN58" s="106">
        <v>0</v>
      </c>
      <c r="AO58" s="106">
        <v>0</v>
      </c>
      <c r="AP58" s="106">
        <v>0</v>
      </c>
      <c r="AQ58" t="s">
        <v>73</v>
      </c>
      <c r="AR58" t="s">
        <v>227</v>
      </c>
      <c r="AS58" t="s">
        <v>509</v>
      </c>
      <c r="AT58" t="s">
        <v>510</v>
      </c>
      <c r="AU58" s="49">
        <v>3.09</v>
      </c>
      <c r="AV58" s="7" t="s">
        <v>80</v>
      </c>
      <c r="AW58" t="s">
        <v>73</v>
      </c>
      <c r="AX58">
        <v>1E-3</v>
      </c>
      <c r="AY58">
        <v>1</v>
      </c>
      <c r="AZ58" s="19">
        <f t="shared" si="23"/>
        <v>3.3068980114241935</v>
      </c>
      <c r="BA58" s="170" t="s">
        <v>73</v>
      </c>
      <c r="BB58" s="171"/>
      <c r="BC58" s="108" t="s">
        <v>73</v>
      </c>
      <c r="BD58" s="108" t="s">
        <v>73</v>
      </c>
      <c r="BE58" s="108" t="s">
        <v>73</v>
      </c>
      <c r="BF58" s="108" t="s">
        <v>73</v>
      </c>
      <c r="BG58" s="108" t="s">
        <v>73</v>
      </c>
      <c r="BH58" s="108" t="s">
        <v>73</v>
      </c>
      <c r="BI58" s="106">
        <v>599</v>
      </c>
      <c r="BJ58" s="106">
        <v>599</v>
      </c>
      <c r="BK58" s="106" t="s">
        <v>73</v>
      </c>
      <c r="BL58" s="106" t="s">
        <v>73</v>
      </c>
      <c r="BM58" s="106" t="s">
        <v>73</v>
      </c>
      <c r="BN58" s="106" t="s">
        <v>73</v>
      </c>
      <c r="BO58" s="106" t="s">
        <v>73</v>
      </c>
      <c r="BP58" s="106" t="s">
        <v>73</v>
      </c>
      <c r="BQ58" s="106" t="s">
        <v>73</v>
      </c>
      <c r="BR58" s="106" t="s">
        <v>73</v>
      </c>
      <c r="BS58" s="106" t="s">
        <v>73</v>
      </c>
      <c r="BT58" s="106" t="s">
        <v>73</v>
      </c>
      <c r="BU58" s="106">
        <v>0</v>
      </c>
      <c r="BV58" s="106">
        <v>0</v>
      </c>
      <c r="BW58" s="106">
        <v>1</v>
      </c>
      <c r="BX58" s="30">
        <f t="shared" si="14"/>
        <v>0.13389945792371422</v>
      </c>
      <c r="BY58" s="30">
        <f t="shared" si="19"/>
        <v>0.13470840884771776</v>
      </c>
      <c r="BZ58" s="30">
        <f t="shared" si="20"/>
        <v>1.6716901501424388E-3</v>
      </c>
      <c r="CA58" s="30">
        <f t="shared" si="21"/>
        <v>1.6778523489932886E-3</v>
      </c>
      <c r="CB58" s="95" t="s">
        <v>73</v>
      </c>
      <c r="CC58">
        <f t="shared" si="17"/>
        <v>597</v>
      </c>
      <c r="CD58" s="95" t="s">
        <v>73</v>
      </c>
    </row>
    <row r="59" spans="1:82" s="100" customFormat="1" ht="16">
      <c r="A59" s="11" t="s">
        <v>68</v>
      </c>
      <c r="B59" s="11">
        <v>12</v>
      </c>
      <c r="C59" s="105">
        <v>1152</v>
      </c>
      <c r="D59" s="106">
        <v>133</v>
      </c>
      <c r="E59" t="s">
        <v>505</v>
      </c>
      <c r="F59" s="105">
        <v>2019</v>
      </c>
      <c r="G59" t="s">
        <v>506</v>
      </c>
      <c r="H59" t="s">
        <v>507</v>
      </c>
      <c r="I59" s="106">
        <v>2</v>
      </c>
      <c r="J59">
        <v>2016</v>
      </c>
      <c r="K59" s="105" t="s">
        <v>73</v>
      </c>
      <c r="L59" s="106">
        <v>31</v>
      </c>
      <c r="M59" s="106" t="s">
        <v>306</v>
      </c>
      <c r="N59" t="s">
        <v>259</v>
      </c>
      <c r="O59" t="s">
        <v>138</v>
      </c>
      <c r="P59" t="s">
        <v>269</v>
      </c>
      <c r="Q59" t="s">
        <v>260</v>
      </c>
      <c r="R59" t="s">
        <v>270</v>
      </c>
      <c r="S59">
        <v>1</v>
      </c>
      <c r="T59" s="32" t="s">
        <v>324</v>
      </c>
      <c r="U59">
        <v>1</v>
      </c>
      <c r="V59" s="105" t="s">
        <v>225</v>
      </c>
      <c r="W59" s="105" t="s">
        <v>225</v>
      </c>
      <c r="X59" s="105" t="s">
        <v>73</v>
      </c>
      <c r="Y59" s="106">
        <v>1</v>
      </c>
      <c r="Z59" s="106">
        <v>1</v>
      </c>
      <c r="AA59" s="106">
        <v>0</v>
      </c>
      <c r="AB59" s="106">
        <v>0</v>
      </c>
      <c r="AC59" s="106">
        <v>0</v>
      </c>
      <c r="AD59" s="106">
        <v>0</v>
      </c>
      <c r="AE59" s="106">
        <v>0</v>
      </c>
      <c r="AF59" s="106">
        <v>0</v>
      </c>
      <c r="AG59" s="106" t="s">
        <v>523</v>
      </c>
      <c r="AH59" s="106">
        <v>0</v>
      </c>
      <c r="AI59" s="106">
        <v>0</v>
      </c>
      <c r="AJ59" s="106">
        <v>0</v>
      </c>
      <c r="AK59" s="106">
        <v>0</v>
      </c>
      <c r="AL59" s="106">
        <v>1</v>
      </c>
      <c r="AM59" s="106">
        <v>0</v>
      </c>
      <c r="AN59" s="106">
        <v>0</v>
      </c>
      <c r="AO59" s="106">
        <v>0</v>
      </c>
      <c r="AP59" s="106">
        <v>0</v>
      </c>
      <c r="AQ59" t="s">
        <v>73</v>
      </c>
      <c r="AR59" t="s">
        <v>227</v>
      </c>
      <c r="AS59" t="s">
        <v>509</v>
      </c>
      <c r="AT59" t="s">
        <v>510</v>
      </c>
      <c r="AU59" s="49">
        <v>3.63</v>
      </c>
      <c r="AV59" s="7" t="s">
        <v>80</v>
      </c>
      <c r="AW59" t="s">
        <v>73</v>
      </c>
      <c r="AX59">
        <v>1E-3</v>
      </c>
      <c r="AY59">
        <v>1</v>
      </c>
      <c r="AZ59" s="19">
        <f t="shared" si="23"/>
        <v>3.3068980114241935</v>
      </c>
      <c r="BA59" s="170" t="s">
        <v>73</v>
      </c>
      <c r="BB59" s="171"/>
      <c r="BC59" s="108" t="s">
        <v>73</v>
      </c>
      <c r="BD59" s="108" t="s">
        <v>73</v>
      </c>
      <c r="BE59" s="108" t="s">
        <v>73</v>
      </c>
      <c r="BF59" s="108" t="s">
        <v>73</v>
      </c>
      <c r="BG59" s="108" t="s">
        <v>73</v>
      </c>
      <c r="BH59" s="108" t="s">
        <v>73</v>
      </c>
      <c r="BI59" s="106">
        <v>599</v>
      </c>
      <c r="BJ59" s="106">
        <v>599</v>
      </c>
      <c r="BK59" s="106" t="s">
        <v>73</v>
      </c>
      <c r="BL59" s="106" t="s">
        <v>73</v>
      </c>
      <c r="BM59" s="106" t="s">
        <v>73</v>
      </c>
      <c r="BN59" s="106" t="s">
        <v>73</v>
      </c>
      <c r="BO59" s="106" t="s">
        <v>73</v>
      </c>
      <c r="BP59" s="106" t="s">
        <v>73</v>
      </c>
      <c r="BQ59" s="106" t="s">
        <v>73</v>
      </c>
      <c r="BR59" s="106" t="s">
        <v>73</v>
      </c>
      <c r="BS59" s="106" t="s">
        <v>73</v>
      </c>
      <c r="BT59" s="106" t="s">
        <v>73</v>
      </c>
      <c r="BU59" s="106">
        <v>0</v>
      </c>
      <c r="BV59" s="106">
        <v>0</v>
      </c>
      <c r="BW59" s="106">
        <v>1</v>
      </c>
      <c r="BX59" s="30">
        <f t="shared" si="14"/>
        <v>0.13389945792371422</v>
      </c>
      <c r="BY59" s="30">
        <f t="shared" si="19"/>
        <v>0.13470840884771776</v>
      </c>
      <c r="BZ59" s="30">
        <f t="shared" si="20"/>
        <v>1.6716901501424388E-3</v>
      </c>
      <c r="CA59" s="30">
        <f t="shared" si="21"/>
        <v>1.6778523489932886E-3</v>
      </c>
      <c r="CB59" s="95" t="s">
        <v>73</v>
      </c>
      <c r="CC59">
        <f t="shared" si="17"/>
        <v>597</v>
      </c>
      <c r="CD59" s="95" t="s">
        <v>73</v>
      </c>
    </row>
    <row r="60" spans="1:82" s="100" customFormat="1" ht="16">
      <c r="A60" s="95" t="s">
        <v>68</v>
      </c>
      <c r="B60" s="95">
        <v>13</v>
      </c>
      <c r="C60" s="95">
        <v>1121</v>
      </c>
      <c r="D60" s="95">
        <v>126</v>
      </c>
      <c r="E60" s="95" t="s">
        <v>515</v>
      </c>
      <c r="F60" s="95">
        <v>2010</v>
      </c>
      <c r="G60" s="95" t="s">
        <v>516</v>
      </c>
      <c r="H60" s="95" t="s">
        <v>517</v>
      </c>
      <c r="I60" s="95">
        <v>2</v>
      </c>
      <c r="J60" s="95">
        <v>2009</v>
      </c>
      <c r="K60" s="95" t="s">
        <v>73</v>
      </c>
      <c r="L60" s="95">
        <v>13</v>
      </c>
      <c r="M60" s="159" t="s">
        <v>155</v>
      </c>
      <c r="N60" s="95" t="s">
        <v>112</v>
      </c>
      <c r="O60" s="95" t="s">
        <v>148</v>
      </c>
      <c r="P60" s="95" t="s">
        <v>269</v>
      </c>
      <c r="Q60" t="s">
        <v>260</v>
      </c>
      <c r="R60" t="s">
        <v>270</v>
      </c>
      <c r="S60" s="95">
        <v>1</v>
      </c>
      <c r="T60" s="95" t="s">
        <v>324</v>
      </c>
      <c r="U60" s="95">
        <v>1</v>
      </c>
      <c r="V60" s="95" t="s">
        <v>225</v>
      </c>
      <c r="W60" s="95" t="s">
        <v>225</v>
      </c>
      <c r="X60" s="95" t="s">
        <v>73</v>
      </c>
      <c r="Y60" s="95">
        <v>0</v>
      </c>
      <c r="Z60" s="95">
        <v>0</v>
      </c>
      <c r="AA60" s="95">
        <v>1</v>
      </c>
      <c r="AB60" s="95">
        <v>0</v>
      </c>
      <c r="AC60" s="95">
        <v>0</v>
      </c>
      <c r="AD60" s="95">
        <v>0</v>
      </c>
      <c r="AE60" s="95">
        <v>0</v>
      </c>
      <c r="AF60" s="95">
        <v>0</v>
      </c>
      <c r="AG60" s="95" t="s">
        <v>518</v>
      </c>
      <c r="AH60" s="95">
        <v>0</v>
      </c>
      <c r="AI60" s="95">
        <v>0</v>
      </c>
      <c r="AJ60" s="95">
        <v>0</v>
      </c>
      <c r="AK60" s="95">
        <v>0</v>
      </c>
      <c r="AL60" s="95">
        <v>0</v>
      </c>
      <c r="AM60" s="95">
        <v>0</v>
      </c>
      <c r="AN60" s="95">
        <v>0</v>
      </c>
      <c r="AO60" s="95">
        <v>0</v>
      </c>
      <c r="AP60" s="95">
        <v>1</v>
      </c>
      <c r="AQ60" s="95" t="s">
        <v>519</v>
      </c>
      <c r="AR60" s="95" t="s">
        <v>227</v>
      </c>
      <c r="AS60" s="95" t="s">
        <v>520</v>
      </c>
      <c r="AT60" s="95" t="s">
        <v>273</v>
      </c>
      <c r="AU60" s="172">
        <v>2.17</v>
      </c>
      <c r="AV60" s="97" t="s">
        <v>80</v>
      </c>
      <c r="AW60" s="95">
        <v>0.11</v>
      </c>
      <c r="AX60" s="95">
        <v>0.01</v>
      </c>
      <c r="AY60" s="95">
        <v>1</v>
      </c>
      <c r="AZ60" s="95">
        <f>AU60/AW60</f>
        <v>19.727272727272727</v>
      </c>
      <c r="BA60" s="173">
        <f>EXP(AU60)-1</f>
        <v>7.7582840407408344</v>
      </c>
      <c r="BB60" s="112">
        <f t="shared" ref="BB60:BB91" si="24">EXP(AU60)/(1+EXP(AU60))</f>
        <v>0.89752296655590269</v>
      </c>
      <c r="BC60" s="95" t="s">
        <v>73</v>
      </c>
      <c r="BD60" s="95" t="s">
        <v>73</v>
      </c>
      <c r="BE60" s="95" t="s">
        <v>73</v>
      </c>
      <c r="BF60" s="95" t="s">
        <v>73</v>
      </c>
      <c r="BG60" s="95" t="s">
        <v>73</v>
      </c>
      <c r="BH60" s="95" t="s">
        <v>73</v>
      </c>
      <c r="BI60" s="150">
        <v>97</v>
      </c>
      <c r="BJ60" s="150">
        <v>1164</v>
      </c>
      <c r="BK60" s="95" t="s">
        <v>73</v>
      </c>
      <c r="BL60" s="95" t="s">
        <v>73</v>
      </c>
      <c r="BM60" s="95" t="s">
        <v>73</v>
      </c>
      <c r="BN60" s="95" t="s">
        <v>73</v>
      </c>
      <c r="BO60" s="95" t="s">
        <v>73</v>
      </c>
      <c r="BP60" s="95">
        <v>0</v>
      </c>
      <c r="BQ60" s="95" t="s">
        <v>73</v>
      </c>
      <c r="BR60" s="95">
        <v>0</v>
      </c>
      <c r="BS60" s="95" t="s">
        <v>73</v>
      </c>
      <c r="BT60" s="95" t="s">
        <v>278</v>
      </c>
      <c r="BU60" s="95">
        <v>0</v>
      </c>
      <c r="BV60" s="95">
        <v>0</v>
      </c>
      <c r="BW60" s="95">
        <v>1</v>
      </c>
      <c r="BX60" s="30">
        <f t="shared" si="14"/>
        <v>0.89469513235852893</v>
      </c>
      <c r="BY60" s="30">
        <f t="shared" si="19"/>
        <v>1.4449767900329058</v>
      </c>
      <c r="BZ60" s="30">
        <f t="shared" si="20"/>
        <v>-3.4995503034195442E-2</v>
      </c>
      <c r="CA60" s="30">
        <f t="shared" si="21"/>
        <v>1.0638297872340425E-2</v>
      </c>
      <c r="CB60" s="95" t="s">
        <v>73</v>
      </c>
      <c r="CC60">
        <f t="shared" ref="CC60:CC71" si="25">BI60-1</f>
        <v>96</v>
      </c>
      <c r="CD60" s="95" t="s">
        <v>73</v>
      </c>
    </row>
    <row r="61" spans="1:82" s="131" customFormat="1" ht="16">
      <c r="A61" s="95" t="s">
        <v>68</v>
      </c>
      <c r="B61" s="95">
        <v>13</v>
      </c>
      <c r="C61" s="95">
        <v>1120</v>
      </c>
      <c r="D61" s="95">
        <v>126</v>
      </c>
      <c r="E61" s="95" t="s">
        <v>515</v>
      </c>
      <c r="F61" s="95">
        <v>2010</v>
      </c>
      <c r="G61" s="95" t="s">
        <v>516</v>
      </c>
      <c r="H61" s="95" t="s">
        <v>517</v>
      </c>
      <c r="I61" s="95">
        <v>2</v>
      </c>
      <c r="J61" s="95">
        <v>2009</v>
      </c>
      <c r="K61" s="95" t="s">
        <v>73</v>
      </c>
      <c r="L61" s="95">
        <v>13</v>
      </c>
      <c r="M61" s="159" t="s">
        <v>155</v>
      </c>
      <c r="N61" s="95" t="s">
        <v>112</v>
      </c>
      <c r="O61" s="95" t="s">
        <v>148</v>
      </c>
      <c r="P61" s="95" t="s">
        <v>269</v>
      </c>
      <c r="Q61" t="s">
        <v>260</v>
      </c>
      <c r="R61" t="s">
        <v>270</v>
      </c>
      <c r="S61" s="95">
        <v>1</v>
      </c>
      <c r="T61" s="95" t="s">
        <v>324</v>
      </c>
      <c r="U61" s="95">
        <v>1</v>
      </c>
      <c r="V61" s="95" t="s">
        <v>225</v>
      </c>
      <c r="W61" s="95" t="s">
        <v>225</v>
      </c>
      <c r="X61" s="95" t="s">
        <v>73</v>
      </c>
      <c r="Y61" s="95">
        <v>0</v>
      </c>
      <c r="Z61" s="95">
        <v>0</v>
      </c>
      <c r="AA61" s="95">
        <v>1</v>
      </c>
      <c r="AB61" s="95">
        <v>0</v>
      </c>
      <c r="AC61" s="95">
        <v>0</v>
      </c>
      <c r="AD61" s="95">
        <v>0</v>
      </c>
      <c r="AE61" s="95">
        <v>0</v>
      </c>
      <c r="AF61" s="95">
        <v>0</v>
      </c>
      <c r="AG61" s="95" t="s">
        <v>518</v>
      </c>
      <c r="AH61" s="95">
        <v>0</v>
      </c>
      <c r="AI61" s="95">
        <v>0</v>
      </c>
      <c r="AJ61" s="95">
        <v>0</v>
      </c>
      <c r="AK61" s="95">
        <v>0</v>
      </c>
      <c r="AL61" s="95">
        <v>0</v>
      </c>
      <c r="AM61" s="95">
        <v>0</v>
      </c>
      <c r="AN61" s="95">
        <v>0</v>
      </c>
      <c r="AO61" s="95">
        <v>0</v>
      </c>
      <c r="AP61" s="95">
        <v>1</v>
      </c>
      <c r="AQ61" s="95" t="s">
        <v>519</v>
      </c>
      <c r="AR61" s="95" t="s">
        <v>227</v>
      </c>
      <c r="AS61" s="95" t="s">
        <v>520</v>
      </c>
      <c r="AT61" s="95" t="s">
        <v>273</v>
      </c>
      <c r="AU61" s="172">
        <v>3.18</v>
      </c>
      <c r="AV61" s="97" t="s">
        <v>80</v>
      </c>
      <c r="AW61" s="95">
        <v>0.13</v>
      </c>
      <c r="AX61" s="95">
        <v>0.01</v>
      </c>
      <c r="AY61" s="95">
        <v>1</v>
      </c>
      <c r="AZ61" s="95">
        <f>AU61/AW61</f>
        <v>24.461538461538463</v>
      </c>
      <c r="BA61" s="173">
        <f>EXP(AU61)-1</f>
        <v>23.046753552064498</v>
      </c>
      <c r="BB61" s="112">
        <f t="shared" si="24"/>
        <v>0.96007466604718616</v>
      </c>
      <c r="BC61" s="95" t="s">
        <v>73</v>
      </c>
      <c r="BD61" s="95" t="s">
        <v>73</v>
      </c>
      <c r="BE61" s="95" t="s">
        <v>73</v>
      </c>
      <c r="BF61" s="95" t="s">
        <v>73</v>
      </c>
      <c r="BG61" s="95" t="s">
        <v>73</v>
      </c>
      <c r="BH61" s="95" t="s">
        <v>73</v>
      </c>
      <c r="BI61" s="150">
        <v>90</v>
      </c>
      <c r="BJ61" s="150">
        <v>1080</v>
      </c>
      <c r="BK61" s="95" t="s">
        <v>73</v>
      </c>
      <c r="BL61" s="95" t="s">
        <v>73</v>
      </c>
      <c r="BM61" s="95" t="s">
        <v>73</v>
      </c>
      <c r="BN61" s="95" t="s">
        <v>73</v>
      </c>
      <c r="BO61" s="95" t="s">
        <v>73</v>
      </c>
      <c r="BP61" s="95">
        <v>0</v>
      </c>
      <c r="BQ61" s="95" t="s">
        <v>73</v>
      </c>
      <c r="BR61" s="95">
        <v>0</v>
      </c>
      <c r="BS61" s="95" t="s">
        <v>73</v>
      </c>
      <c r="BT61" s="95" t="s">
        <v>387</v>
      </c>
      <c r="BU61" s="95">
        <v>0</v>
      </c>
      <c r="BV61" s="95">
        <v>0</v>
      </c>
      <c r="BW61" s="95">
        <v>1</v>
      </c>
      <c r="BX61" s="30">
        <f t="shared" si="14"/>
        <v>0.93233886735311322</v>
      </c>
      <c r="BY61" s="30">
        <f t="shared" si="19"/>
        <v>1.6759872465436003</v>
      </c>
      <c r="BZ61" s="30">
        <f t="shared" si="20"/>
        <v>-7.7416921417931925E-2</v>
      </c>
      <c r="CA61" s="30">
        <f t="shared" si="21"/>
        <v>1.1494252873563218E-2</v>
      </c>
      <c r="CB61" s="95" t="s">
        <v>73</v>
      </c>
      <c r="CC61">
        <f t="shared" si="25"/>
        <v>89</v>
      </c>
      <c r="CD61" s="95" t="s">
        <v>73</v>
      </c>
    </row>
    <row r="62" spans="1:82" ht="16">
      <c r="A62" s="100" t="s">
        <v>68</v>
      </c>
      <c r="B62" s="95">
        <v>13</v>
      </c>
      <c r="C62" s="100">
        <v>1134</v>
      </c>
      <c r="D62" s="100">
        <v>129</v>
      </c>
      <c r="E62" s="100" t="s">
        <v>515</v>
      </c>
      <c r="F62" s="100">
        <v>2012</v>
      </c>
      <c r="G62" s="100" t="s">
        <v>574</v>
      </c>
      <c r="H62" s="100" t="s">
        <v>575</v>
      </c>
      <c r="I62" s="100">
        <v>2</v>
      </c>
      <c r="J62" s="100">
        <v>2009</v>
      </c>
      <c r="K62" s="100" t="s">
        <v>73</v>
      </c>
      <c r="L62" s="100">
        <v>67</v>
      </c>
      <c r="M62" s="100" t="s">
        <v>155</v>
      </c>
      <c r="N62" s="100" t="s">
        <v>112</v>
      </c>
      <c r="O62" s="100" t="s">
        <v>148</v>
      </c>
      <c r="P62" s="100" t="s">
        <v>269</v>
      </c>
      <c r="Q62" s="100" t="s">
        <v>260</v>
      </c>
      <c r="R62" s="100" t="s">
        <v>270</v>
      </c>
      <c r="S62" s="100">
        <v>1</v>
      </c>
      <c r="T62" s="100" t="s">
        <v>324</v>
      </c>
      <c r="U62" s="100">
        <v>0</v>
      </c>
      <c r="V62" s="100" t="s">
        <v>225</v>
      </c>
      <c r="W62" s="100" t="s">
        <v>225</v>
      </c>
      <c r="X62" s="100" t="s">
        <v>73</v>
      </c>
      <c r="Y62" s="100">
        <v>0</v>
      </c>
      <c r="Z62" s="100">
        <v>0</v>
      </c>
      <c r="AA62" s="100">
        <v>1</v>
      </c>
      <c r="AB62" s="100">
        <v>0</v>
      </c>
      <c r="AC62" s="100">
        <v>0</v>
      </c>
      <c r="AD62" s="100">
        <v>0</v>
      </c>
      <c r="AE62" s="100">
        <v>0</v>
      </c>
      <c r="AF62" s="100">
        <v>0</v>
      </c>
      <c r="AG62" s="100" t="s">
        <v>73</v>
      </c>
      <c r="AH62" s="100">
        <v>0</v>
      </c>
      <c r="AI62" s="100">
        <v>0</v>
      </c>
      <c r="AJ62" s="100">
        <v>0</v>
      </c>
      <c r="AK62" s="100">
        <v>0</v>
      </c>
      <c r="AL62" s="100">
        <v>0</v>
      </c>
      <c r="AM62" s="100">
        <v>0</v>
      </c>
      <c r="AN62" s="100">
        <v>0</v>
      </c>
      <c r="AO62" s="100">
        <v>0</v>
      </c>
      <c r="AP62" s="100">
        <v>1</v>
      </c>
      <c r="AQ62" s="100" t="s">
        <v>519</v>
      </c>
      <c r="AR62" s="100" t="s">
        <v>227</v>
      </c>
      <c r="AS62" s="32" t="s">
        <v>287</v>
      </c>
      <c r="AT62" s="100" t="s">
        <v>229</v>
      </c>
      <c r="AU62" s="174" t="e">
        <f t="shared" ref="AU62:AU69" si="26">LN(BA62-1)</f>
        <v>#NUM!</v>
      </c>
      <c r="AV62" s="175" t="s">
        <v>80</v>
      </c>
      <c r="AW62" s="100">
        <v>4</v>
      </c>
      <c r="AX62" s="176" t="s">
        <v>73</v>
      </c>
      <c r="AY62" s="176" t="s">
        <v>73</v>
      </c>
      <c r="AZ62" s="177" t="e">
        <f t="shared" ref="AZ62:AZ69" si="27">TINV(AX62,CC62)</f>
        <v>#VALUE!</v>
      </c>
      <c r="BA62" s="178">
        <v>0.33700000000000002</v>
      </c>
      <c r="BB62" s="179" t="e">
        <f t="shared" si="24"/>
        <v>#NUM!</v>
      </c>
      <c r="BC62" s="100" t="s">
        <v>73</v>
      </c>
      <c r="BD62" s="100" t="s">
        <v>73</v>
      </c>
      <c r="BE62" s="100" t="s">
        <v>73</v>
      </c>
      <c r="BF62" s="100" t="s">
        <v>73</v>
      </c>
      <c r="BG62" s="100" t="s">
        <v>73</v>
      </c>
      <c r="BH62" s="100" t="s">
        <v>73</v>
      </c>
      <c r="BI62" s="180">
        <v>90</v>
      </c>
      <c r="BJ62" s="100">
        <v>1080</v>
      </c>
      <c r="BK62" s="100" t="s">
        <v>73</v>
      </c>
      <c r="BL62" s="100" t="s">
        <v>73</v>
      </c>
      <c r="BM62" s="100" t="s">
        <v>73</v>
      </c>
      <c r="BN62" s="100" t="s">
        <v>73</v>
      </c>
      <c r="BO62" s="100" t="s">
        <v>73</v>
      </c>
      <c r="BP62" s="100">
        <v>0</v>
      </c>
      <c r="BQ62" s="100" t="s">
        <v>73</v>
      </c>
      <c r="BR62" s="100">
        <v>0</v>
      </c>
      <c r="BS62" s="100" t="s">
        <v>73</v>
      </c>
      <c r="BT62" s="100" t="s">
        <v>387</v>
      </c>
      <c r="BU62" s="100">
        <v>0</v>
      </c>
      <c r="BV62" s="100">
        <v>0</v>
      </c>
      <c r="BW62" s="100">
        <v>0</v>
      </c>
      <c r="BX62" s="156">
        <f t="shared" ref="BX62:BX69" si="28">CB62/((CB62^2+4)^(1/2))</f>
        <v>4.2087673934074338E-2</v>
      </c>
      <c r="BY62" s="156">
        <f t="shared" si="19"/>
        <v>4.2112551359627833E-2</v>
      </c>
      <c r="BZ62" s="156">
        <f t="shared" si="20"/>
        <v>1.123591971702094E-2</v>
      </c>
      <c r="CA62" s="156">
        <f t="shared" si="21"/>
        <v>1.1494252873563218E-2</v>
      </c>
      <c r="CB62" s="122">
        <f t="shared" ref="CB62:CB69" si="29">BA62/AW62</f>
        <v>8.4250000000000005E-2</v>
      </c>
      <c r="CC62" s="32">
        <f t="shared" si="25"/>
        <v>89</v>
      </c>
      <c r="CD62" s="95" t="s">
        <v>73</v>
      </c>
    </row>
    <row r="63" spans="1:82" ht="16">
      <c r="A63" s="100" t="s">
        <v>68</v>
      </c>
      <c r="B63" s="95">
        <v>13</v>
      </c>
      <c r="C63" s="100">
        <v>1135</v>
      </c>
      <c r="D63" s="100">
        <v>129</v>
      </c>
      <c r="E63" s="100" t="s">
        <v>515</v>
      </c>
      <c r="F63" s="100">
        <v>2012</v>
      </c>
      <c r="G63" s="100" t="s">
        <v>574</v>
      </c>
      <c r="H63" s="100" t="s">
        <v>575</v>
      </c>
      <c r="I63" s="100">
        <v>2</v>
      </c>
      <c r="J63" s="100">
        <v>2009</v>
      </c>
      <c r="K63" s="100" t="s">
        <v>73</v>
      </c>
      <c r="L63" s="100">
        <v>67</v>
      </c>
      <c r="M63" s="100" t="s">
        <v>155</v>
      </c>
      <c r="N63" s="100" t="s">
        <v>112</v>
      </c>
      <c r="O63" s="100" t="s">
        <v>148</v>
      </c>
      <c r="P63" s="100" t="s">
        <v>269</v>
      </c>
      <c r="Q63" s="100" t="s">
        <v>260</v>
      </c>
      <c r="R63" s="100" t="s">
        <v>270</v>
      </c>
      <c r="S63" s="100">
        <v>1</v>
      </c>
      <c r="T63" s="100" t="s">
        <v>324</v>
      </c>
      <c r="U63" s="100">
        <v>0</v>
      </c>
      <c r="V63" s="100" t="s">
        <v>225</v>
      </c>
      <c r="W63" s="100" t="s">
        <v>225</v>
      </c>
      <c r="X63" s="100" t="s">
        <v>73</v>
      </c>
      <c r="Y63" s="100">
        <v>0</v>
      </c>
      <c r="Z63" s="100">
        <v>0</v>
      </c>
      <c r="AA63" s="100">
        <v>1</v>
      </c>
      <c r="AB63" s="100">
        <v>0</v>
      </c>
      <c r="AC63" s="100">
        <v>0</v>
      </c>
      <c r="AD63" s="100">
        <v>0</v>
      </c>
      <c r="AE63" s="100">
        <v>0</v>
      </c>
      <c r="AF63" s="100">
        <v>0</v>
      </c>
      <c r="AG63" s="100" t="s">
        <v>73</v>
      </c>
      <c r="AH63" s="100">
        <v>0</v>
      </c>
      <c r="AI63" s="100">
        <v>0</v>
      </c>
      <c r="AJ63" s="100">
        <v>0</v>
      </c>
      <c r="AK63" s="100">
        <v>0</v>
      </c>
      <c r="AL63" s="100">
        <v>0</v>
      </c>
      <c r="AM63" s="100">
        <v>0</v>
      </c>
      <c r="AN63" s="100">
        <v>0</v>
      </c>
      <c r="AO63" s="100">
        <v>0</v>
      </c>
      <c r="AP63" s="100">
        <v>1</v>
      </c>
      <c r="AQ63" s="100" t="s">
        <v>519</v>
      </c>
      <c r="AR63" s="100" t="s">
        <v>227</v>
      </c>
      <c r="AS63" s="32" t="s">
        <v>287</v>
      </c>
      <c r="AT63" s="100" t="s">
        <v>229</v>
      </c>
      <c r="AU63" s="174" t="e">
        <f t="shared" si="26"/>
        <v>#NUM!</v>
      </c>
      <c r="AV63" s="175" t="s">
        <v>80</v>
      </c>
      <c r="AW63" s="175">
        <v>2.1</v>
      </c>
      <c r="AX63" s="176" t="s">
        <v>73</v>
      </c>
      <c r="AY63" s="176" t="s">
        <v>73</v>
      </c>
      <c r="AZ63" s="177" t="e">
        <f t="shared" si="27"/>
        <v>#VALUE!</v>
      </c>
      <c r="BA63" s="178">
        <v>7.4999999999999997E-2</v>
      </c>
      <c r="BB63" s="179" t="e">
        <f t="shared" si="24"/>
        <v>#NUM!</v>
      </c>
      <c r="BC63" s="100" t="s">
        <v>73</v>
      </c>
      <c r="BD63" s="100" t="s">
        <v>73</v>
      </c>
      <c r="BE63" s="100" t="s">
        <v>73</v>
      </c>
      <c r="BF63" s="100" t="s">
        <v>73</v>
      </c>
      <c r="BG63" s="100" t="s">
        <v>73</v>
      </c>
      <c r="BH63" s="100" t="s">
        <v>73</v>
      </c>
      <c r="BI63" s="180">
        <v>97</v>
      </c>
      <c r="BJ63" s="100">
        <v>1164</v>
      </c>
      <c r="BK63" s="100" t="s">
        <v>73</v>
      </c>
      <c r="BL63" s="100" t="s">
        <v>73</v>
      </c>
      <c r="BM63" s="100" t="s">
        <v>73</v>
      </c>
      <c r="BN63" s="100" t="s">
        <v>73</v>
      </c>
      <c r="BO63" s="100" t="s">
        <v>73</v>
      </c>
      <c r="BP63" s="100">
        <v>0</v>
      </c>
      <c r="BQ63" s="100" t="s">
        <v>73</v>
      </c>
      <c r="BR63" s="100">
        <v>0</v>
      </c>
      <c r="BS63" s="100" t="s">
        <v>73</v>
      </c>
      <c r="BT63" s="100" t="s">
        <v>278</v>
      </c>
      <c r="BU63" s="100">
        <v>0</v>
      </c>
      <c r="BV63" s="100">
        <v>0</v>
      </c>
      <c r="BW63" s="100">
        <v>0</v>
      </c>
      <c r="BX63" s="156">
        <f t="shared" si="28"/>
        <v>1.785429641688294E-2</v>
      </c>
      <c r="BY63" s="156">
        <f t="shared" si="19"/>
        <v>1.7856193952969043E-2</v>
      </c>
      <c r="BZ63" s="156">
        <f t="shared" si="20"/>
        <v>1.0416665607694988E-2</v>
      </c>
      <c r="CA63" s="156">
        <f t="shared" si="21"/>
        <v>1.0638297872340425E-2</v>
      </c>
      <c r="CB63" s="122">
        <f t="shared" si="29"/>
        <v>3.5714285714285712E-2</v>
      </c>
      <c r="CC63" s="32">
        <f t="shared" si="25"/>
        <v>96</v>
      </c>
      <c r="CD63" s="95" t="s">
        <v>73</v>
      </c>
    </row>
    <row r="64" spans="1:82" ht="16">
      <c r="A64" s="100" t="s">
        <v>68</v>
      </c>
      <c r="B64" s="95">
        <v>13</v>
      </c>
      <c r="C64" s="100">
        <v>1136</v>
      </c>
      <c r="D64" s="100">
        <v>129</v>
      </c>
      <c r="E64" s="100" t="s">
        <v>515</v>
      </c>
      <c r="F64" s="100">
        <v>2012</v>
      </c>
      <c r="G64" s="100" t="s">
        <v>574</v>
      </c>
      <c r="H64" s="100" t="s">
        <v>575</v>
      </c>
      <c r="I64" s="100">
        <v>2</v>
      </c>
      <c r="J64" s="100">
        <v>2009</v>
      </c>
      <c r="K64" s="100" t="s">
        <v>73</v>
      </c>
      <c r="L64" s="100">
        <v>67</v>
      </c>
      <c r="M64" s="100" t="s">
        <v>155</v>
      </c>
      <c r="N64" s="100" t="s">
        <v>112</v>
      </c>
      <c r="O64" s="100" t="s">
        <v>148</v>
      </c>
      <c r="P64" s="100" t="s">
        <v>269</v>
      </c>
      <c r="Q64" s="100" t="s">
        <v>260</v>
      </c>
      <c r="R64" s="100" t="s">
        <v>270</v>
      </c>
      <c r="S64" s="100">
        <v>1</v>
      </c>
      <c r="T64" s="100" t="s">
        <v>324</v>
      </c>
      <c r="U64" s="100">
        <v>0</v>
      </c>
      <c r="V64" s="100" t="s">
        <v>225</v>
      </c>
      <c r="W64" s="100" t="s">
        <v>225</v>
      </c>
      <c r="X64" s="100" t="s">
        <v>73</v>
      </c>
      <c r="Y64" s="100">
        <v>0</v>
      </c>
      <c r="Z64" s="100">
        <v>0</v>
      </c>
      <c r="AA64" s="100">
        <v>1</v>
      </c>
      <c r="AB64" s="100">
        <v>0</v>
      </c>
      <c r="AC64" s="100">
        <v>0</v>
      </c>
      <c r="AD64" s="100">
        <v>0</v>
      </c>
      <c r="AE64" s="100">
        <v>0</v>
      </c>
      <c r="AF64" s="100">
        <v>0</v>
      </c>
      <c r="AG64" s="100" t="s">
        <v>73</v>
      </c>
      <c r="AH64" s="100">
        <v>0</v>
      </c>
      <c r="AI64" s="100">
        <v>0</v>
      </c>
      <c r="AJ64" s="100">
        <v>0</v>
      </c>
      <c r="AK64" s="100">
        <v>0</v>
      </c>
      <c r="AL64" s="100">
        <v>0</v>
      </c>
      <c r="AM64" s="100">
        <v>0</v>
      </c>
      <c r="AN64" s="100">
        <v>0</v>
      </c>
      <c r="AO64" s="100">
        <v>0</v>
      </c>
      <c r="AP64" s="100">
        <v>1</v>
      </c>
      <c r="AQ64" s="100" t="s">
        <v>519</v>
      </c>
      <c r="AR64" s="100" t="s">
        <v>227</v>
      </c>
      <c r="AS64" s="32" t="s">
        <v>287</v>
      </c>
      <c r="AT64" s="100" t="s">
        <v>229</v>
      </c>
      <c r="AU64" s="174" t="e">
        <f t="shared" si="26"/>
        <v>#NUM!</v>
      </c>
      <c r="AV64" s="175" t="s">
        <v>80</v>
      </c>
      <c r="AW64" s="100">
        <v>2.6</v>
      </c>
      <c r="AX64" s="176" t="s">
        <v>73</v>
      </c>
      <c r="AY64" s="176" t="s">
        <v>73</v>
      </c>
      <c r="AZ64" s="177" t="e">
        <f t="shared" si="27"/>
        <v>#VALUE!</v>
      </c>
      <c r="BA64" s="178">
        <v>0.191</v>
      </c>
      <c r="BB64" s="179" t="e">
        <f t="shared" si="24"/>
        <v>#NUM!</v>
      </c>
      <c r="BC64" s="100" t="s">
        <v>73</v>
      </c>
      <c r="BD64" s="100" t="s">
        <v>73</v>
      </c>
      <c r="BE64" s="100" t="s">
        <v>73</v>
      </c>
      <c r="BF64" s="100" t="s">
        <v>73</v>
      </c>
      <c r="BG64" s="100" t="s">
        <v>73</v>
      </c>
      <c r="BH64" s="100" t="s">
        <v>73</v>
      </c>
      <c r="BI64" s="180">
        <v>90</v>
      </c>
      <c r="BJ64" s="100">
        <v>1080</v>
      </c>
      <c r="BK64" s="100" t="s">
        <v>73</v>
      </c>
      <c r="BL64" s="100" t="s">
        <v>73</v>
      </c>
      <c r="BM64" s="100" t="s">
        <v>73</v>
      </c>
      <c r="BN64" s="100" t="s">
        <v>73</v>
      </c>
      <c r="BO64" s="100" t="s">
        <v>73</v>
      </c>
      <c r="BP64" s="100">
        <v>0</v>
      </c>
      <c r="BQ64" s="100" t="s">
        <v>73</v>
      </c>
      <c r="BR64" s="100">
        <v>0</v>
      </c>
      <c r="BS64" s="100" t="s">
        <v>73</v>
      </c>
      <c r="BT64" s="100" t="s">
        <v>387</v>
      </c>
      <c r="BU64" s="100">
        <v>0</v>
      </c>
      <c r="BV64" s="100">
        <v>0</v>
      </c>
      <c r="BW64" s="100">
        <v>0</v>
      </c>
      <c r="BX64" s="156">
        <f t="shared" si="28"/>
        <v>3.6706016626389615E-2</v>
      </c>
      <c r="BY64" s="156">
        <f t="shared" si="19"/>
        <v>3.6722515025129569E-2</v>
      </c>
      <c r="BZ64" s="156">
        <f t="shared" si="20"/>
        <v>1.1235934622825631E-2</v>
      </c>
      <c r="CA64" s="156">
        <f t="shared" si="21"/>
        <v>1.1494252873563218E-2</v>
      </c>
      <c r="CB64" s="122">
        <f t="shared" si="29"/>
        <v>7.3461538461538467E-2</v>
      </c>
      <c r="CC64" s="32">
        <f t="shared" si="25"/>
        <v>89</v>
      </c>
      <c r="CD64" s="95" t="s">
        <v>73</v>
      </c>
    </row>
    <row r="65" spans="1:82" ht="16">
      <c r="A65" s="100" t="s">
        <v>68</v>
      </c>
      <c r="B65" s="95">
        <v>13</v>
      </c>
      <c r="C65" s="100">
        <v>1137</v>
      </c>
      <c r="D65" s="100">
        <v>129</v>
      </c>
      <c r="E65" s="100" t="s">
        <v>515</v>
      </c>
      <c r="F65" s="100">
        <v>2012</v>
      </c>
      <c r="G65" s="100" t="s">
        <v>574</v>
      </c>
      <c r="H65" s="100" t="s">
        <v>575</v>
      </c>
      <c r="I65" s="100">
        <v>2</v>
      </c>
      <c r="J65" s="100">
        <v>2009</v>
      </c>
      <c r="K65" s="100" t="s">
        <v>73</v>
      </c>
      <c r="L65" s="100">
        <v>67</v>
      </c>
      <c r="M65" s="100" t="s">
        <v>155</v>
      </c>
      <c r="N65" s="100" t="s">
        <v>112</v>
      </c>
      <c r="O65" s="100" t="s">
        <v>148</v>
      </c>
      <c r="P65" s="100" t="s">
        <v>269</v>
      </c>
      <c r="Q65" s="100" t="s">
        <v>260</v>
      </c>
      <c r="R65" s="100" t="s">
        <v>270</v>
      </c>
      <c r="S65" s="100">
        <v>1</v>
      </c>
      <c r="T65" s="100" t="s">
        <v>324</v>
      </c>
      <c r="U65" s="100">
        <v>0</v>
      </c>
      <c r="V65" s="100" t="s">
        <v>225</v>
      </c>
      <c r="W65" s="100" t="s">
        <v>225</v>
      </c>
      <c r="X65" s="100" t="s">
        <v>73</v>
      </c>
      <c r="Y65" s="100">
        <v>0</v>
      </c>
      <c r="Z65" s="100">
        <v>0</v>
      </c>
      <c r="AA65" s="100">
        <v>1</v>
      </c>
      <c r="AB65" s="100">
        <v>0</v>
      </c>
      <c r="AC65" s="100">
        <v>0</v>
      </c>
      <c r="AD65" s="100">
        <v>0</v>
      </c>
      <c r="AE65" s="100">
        <v>0</v>
      </c>
      <c r="AF65" s="100">
        <v>0</v>
      </c>
      <c r="AG65" s="100" t="s">
        <v>73</v>
      </c>
      <c r="AH65" s="100">
        <v>0</v>
      </c>
      <c r="AI65" s="100">
        <v>0</v>
      </c>
      <c r="AJ65" s="100">
        <v>0</v>
      </c>
      <c r="AK65" s="100">
        <v>0</v>
      </c>
      <c r="AL65" s="100">
        <v>0</v>
      </c>
      <c r="AM65" s="100">
        <v>0</v>
      </c>
      <c r="AN65" s="100">
        <v>0</v>
      </c>
      <c r="AO65" s="100">
        <v>0</v>
      </c>
      <c r="AP65" s="100">
        <v>1</v>
      </c>
      <c r="AQ65" s="100" t="s">
        <v>519</v>
      </c>
      <c r="AR65" s="100" t="s">
        <v>227</v>
      </c>
      <c r="AS65" s="32" t="s">
        <v>287</v>
      </c>
      <c r="AT65" s="100" t="s">
        <v>229</v>
      </c>
      <c r="AU65" s="174" t="e">
        <f t="shared" si="26"/>
        <v>#NUM!</v>
      </c>
      <c r="AV65" s="175" t="s">
        <v>80</v>
      </c>
      <c r="AW65" s="100">
        <v>3.1</v>
      </c>
      <c r="AX65" s="176" t="s">
        <v>73</v>
      </c>
      <c r="AY65" s="176" t="s">
        <v>73</v>
      </c>
      <c r="AZ65" s="177" t="e">
        <f t="shared" si="27"/>
        <v>#VALUE!</v>
      </c>
      <c r="BA65" s="178">
        <v>0.214</v>
      </c>
      <c r="BB65" s="179" t="e">
        <f t="shared" si="24"/>
        <v>#NUM!</v>
      </c>
      <c r="BC65" s="100" t="s">
        <v>73</v>
      </c>
      <c r="BD65" s="100" t="s">
        <v>73</v>
      </c>
      <c r="BE65" s="100" t="s">
        <v>73</v>
      </c>
      <c r="BF65" s="100" t="s">
        <v>73</v>
      </c>
      <c r="BG65" s="100" t="s">
        <v>73</v>
      </c>
      <c r="BH65" s="100" t="s">
        <v>73</v>
      </c>
      <c r="BI65" s="180">
        <v>97</v>
      </c>
      <c r="BJ65" s="100">
        <v>1164</v>
      </c>
      <c r="BK65" s="100" t="s">
        <v>73</v>
      </c>
      <c r="BL65" s="100" t="s">
        <v>73</v>
      </c>
      <c r="BM65" s="100" t="s">
        <v>73</v>
      </c>
      <c r="BN65" s="100" t="s">
        <v>73</v>
      </c>
      <c r="BO65" s="100" t="s">
        <v>73</v>
      </c>
      <c r="BP65" s="100">
        <v>0</v>
      </c>
      <c r="BQ65" s="100" t="s">
        <v>73</v>
      </c>
      <c r="BR65" s="100">
        <v>0</v>
      </c>
      <c r="BS65" s="100" t="s">
        <v>73</v>
      </c>
      <c r="BT65" s="100" t="s">
        <v>278</v>
      </c>
      <c r="BU65" s="100">
        <v>0</v>
      </c>
      <c r="BV65" s="100">
        <v>0</v>
      </c>
      <c r="BW65" s="100">
        <v>0</v>
      </c>
      <c r="BX65" s="156">
        <f t="shared" si="28"/>
        <v>3.4495586763078345E-2</v>
      </c>
      <c r="BY65" s="156">
        <f t="shared" si="19"/>
        <v>3.4509279163151156E-2</v>
      </c>
      <c r="BZ65" s="156">
        <f t="shared" si="20"/>
        <v>1.0416651893543523E-2</v>
      </c>
      <c r="CA65" s="156">
        <f t="shared" si="21"/>
        <v>1.0638297872340425E-2</v>
      </c>
      <c r="CB65" s="122">
        <f t="shared" si="29"/>
        <v>6.9032258064516128E-2</v>
      </c>
      <c r="CC65" s="32">
        <f t="shared" si="25"/>
        <v>96</v>
      </c>
      <c r="CD65" s="95" t="s">
        <v>73</v>
      </c>
    </row>
    <row r="66" spans="1:82" s="114" customFormat="1" ht="16">
      <c r="A66" s="100" t="s">
        <v>68</v>
      </c>
      <c r="B66" s="95">
        <v>13</v>
      </c>
      <c r="C66" s="100">
        <v>1138</v>
      </c>
      <c r="D66" s="100">
        <v>129</v>
      </c>
      <c r="E66" s="100" t="s">
        <v>515</v>
      </c>
      <c r="F66" s="100">
        <v>2012</v>
      </c>
      <c r="G66" s="100" t="s">
        <v>574</v>
      </c>
      <c r="H66" s="100" t="s">
        <v>575</v>
      </c>
      <c r="I66" s="100">
        <v>2</v>
      </c>
      <c r="J66" s="100">
        <v>2009</v>
      </c>
      <c r="K66" s="100" t="s">
        <v>73</v>
      </c>
      <c r="L66" s="100">
        <v>67</v>
      </c>
      <c r="M66" s="100" t="s">
        <v>155</v>
      </c>
      <c r="N66" s="100" t="s">
        <v>112</v>
      </c>
      <c r="O66" s="100" t="s">
        <v>148</v>
      </c>
      <c r="P66" s="100" t="s">
        <v>269</v>
      </c>
      <c r="Q66" s="100" t="s">
        <v>260</v>
      </c>
      <c r="R66" s="100" t="s">
        <v>270</v>
      </c>
      <c r="S66" s="100">
        <v>1</v>
      </c>
      <c r="T66" s="100" t="s">
        <v>324</v>
      </c>
      <c r="U66" s="100">
        <v>0</v>
      </c>
      <c r="V66" s="100" t="s">
        <v>225</v>
      </c>
      <c r="W66" s="100" t="s">
        <v>225</v>
      </c>
      <c r="X66" s="100" t="s">
        <v>73</v>
      </c>
      <c r="Y66" s="100">
        <v>0</v>
      </c>
      <c r="Z66" s="100">
        <v>0</v>
      </c>
      <c r="AA66" s="100">
        <v>1</v>
      </c>
      <c r="AB66" s="100">
        <v>0</v>
      </c>
      <c r="AC66" s="100">
        <v>0</v>
      </c>
      <c r="AD66" s="100">
        <v>0</v>
      </c>
      <c r="AE66" s="100">
        <v>0</v>
      </c>
      <c r="AF66" s="100">
        <v>0</v>
      </c>
      <c r="AG66" s="100" t="s">
        <v>73</v>
      </c>
      <c r="AH66" s="100">
        <v>0</v>
      </c>
      <c r="AI66" s="100">
        <v>0</v>
      </c>
      <c r="AJ66" s="100">
        <v>0</v>
      </c>
      <c r="AK66" s="100">
        <v>0</v>
      </c>
      <c r="AL66" s="100">
        <v>0</v>
      </c>
      <c r="AM66" s="100">
        <v>0</v>
      </c>
      <c r="AN66" s="100">
        <v>0</v>
      </c>
      <c r="AO66" s="100">
        <v>0</v>
      </c>
      <c r="AP66" s="100">
        <v>1</v>
      </c>
      <c r="AQ66" s="100" t="s">
        <v>519</v>
      </c>
      <c r="AR66" s="100" t="s">
        <v>227</v>
      </c>
      <c r="AS66" s="32" t="s">
        <v>287</v>
      </c>
      <c r="AT66" s="100" t="s">
        <v>229</v>
      </c>
      <c r="AU66" s="174" t="e">
        <f t="shared" si="26"/>
        <v>#NUM!</v>
      </c>
      <c r="AV66" s="175" t="s">
        <v>80</v>
      </c>
      <c r="AW66" s="100">
        <v>2.8</v>
      </c>
      <c r="AX66" s="176" t="s">
        <v>73</v>
      </c>
      <c r="AY66" s="176" t="s">
        <v>73</v>
      </c>
      <c r="AZ66" s="177" t="e">
        <f t="shared" si="27"/>
        <v>#VALUE!</v>
      </c>
      <c r="BA66" s="178">
        <v>0.16500000000000001</v>
      </c>
      <c r="BB66" s="179" t="e">
        <f t="shared" si="24"/>
        <v>#NUM!</v>
      </c>
      <c r="BC66" s="100" t="s">
        <v>73</v>
      </c>
      <c r="BD66" s="100" t="s">
        <v>73</v>
      </c>
      <c r="BE66" s="100" t="s">
        <v>73</v>
      </c>
      <c r="BF66" s="100" t="s">
        <v>73</v>
      </c>
      <c r="BG66" s="100" t="s">
        <v>73</v>
      </c>
      <c r="BH66" s="100" t="s">
        <v>73</v>
      </c>
      <c r="BI66" s="180">
        <v>90</v>
      </c>
      <c r="BJ66" s="100">
        <v>1080</v>
      </c>
      <c r="BK66" s="100" t="s">
        <v>73</v>
      </c>
      <c r="BL66" s="100" t="s">
        <v>73</v>
      </c>
      <c r="BM66" s="100" t="s">
        <v>73</v>
      </c>
      <c r="BN66" s="100" t="s">
        <v>73</v>
      </c>
      <c r="BO66" s="100" t="s">
        <v>73</v>
      </c>
      <c r="BP66" s="100">
        <v>0</v>
      </c>
      <c r="BQ66" s="100" t="s">
        <v>73</v>
      </c>
      <c r="BR66" s="100">
        <v>0</v>
      </c>
      <c r="BS66" s="100" t="s">
        <v>73</v>
      </c>
      <c r="BT66" s="100" t="s">
        <v>387</v>
      </c>
      <c r="BU66" s="100">
        <v>0</v>
      </c>
      <c r="BV66" s="100">
        <v>0</v>
      </c>
      <c r="BW66" s="100">
        <v>0</v>
      </c>
      <c r="BX66" s="156">
        <f t="shared" si="28"/>
        <v>2.9451504412310325E-2</v>
      </c>
      <c r="BY66" s="156">
        <f t="shared" ref="BY66:BY97" si="30">0.5*LN((1+BX66)/(1-BX66))</f>
        <v>2.946002417111681E-2</v>
      </c>
      <c r="BZ66" s="156">
        <f t="shared" ref="BZ66:BZ97" si="31">((1-(BY66^2)^2)/(BI66-1))</f>
        <v>1.1235946592828075E-2</v>
      </c>
      <c r="CA66" s="156">
        <f t="shared" ref="CA66:CA97" si="32">1/(BI66-3)</f>
        <v>1.1494252873563218E-2</v>
      </c>
      <c r="CB66" s="122">
        <f t="shared" si="29"/>
        <v>5.8928571428571434E-2</v>
      </c>
      <c r="CC66" s="32">
        <f t="shared" si="25"/>
        <v>89</v>
      </c>
      <c r="CD66" s="95" t="s">
        <v>73</v>
      </c>
    </row>
    <row r="67" spans="1:82" ht="16">
      <c r="A67" s="100" t="s">
        <v>68</v>
      </c>
      <c r="B67" s="95">
        <v>13</v>
      </c>
      <c r="C67" s="100">
        <v>1139</v>
      </c>
      <c r="D67" s="100">
        <v>129</v>
      </c>
      <c r="E67" s="100" t="s">
        <v>515</v>
      </c>
      <c r="F67" s="100">
        <v>2012</v>
      </c>
      <c r="G67" s="100" t="s">
        <v>574</v>
      </c>
      <c r="H67" s="100" t="s">
        <v>575</v>
      </c>
      <c r="I67" s="100">
        <v>2</v>
      </c>
      <c r="J67" s="100">
        <v>2009</v>
      </c>
      <c r="K67" s="100" t="s">
        <v>73</v>
      </c>
      <c r="L67" s="100">
        <v>67</v>
      </c>
      <c r="M67" s="100" t="s">
        <v>155</v>
      </c>
      <c r="N67" s="100" t="s">
        <v>112</v>
      </c>
      <c r="O67" s="100" t="s">
        <v>148</v>
      </c>
      <c r="P67" s="100" t="s">
        <v>269</v>
      </c>
      <c r="Q67" s="100" t="s">
        <v>260</v>
      </c>
      <c r="R67" s="100" t="s">
        <v>270</v>
      </c>
      <c r="S67" s="100">
        <v>1</v>
      </c>
      <c r="T67" s="100" t="s">
        <v>324</v>
      </c>
      <c r="U67" s="100">
        <v>0</v>
      </c>
      <c r="V67" s="100" t="s">
        <v>225</v>
      </c>
      <c r="W67" s="100" t="s">
        <v>225</v>
      </c>
      <c r="X67" s="100" t="s">
        <v>73</v>
      </c>
      <c r="Y67" s="100">
        <v>0</v>
      </c>
      <c r="Z67" s="100">
        <v>0</v>
      </c>
      <c r="AA67" s="100">
        <v>1</v>
      </c>
      <c r="AB67" s="100">
        <v>0</v>
      </c>
      <c r="AC67" s="100">
        <v>0</v>
      </c>
      <c r="AD67" s="100">
        <v>0</v>
      </c>
      <c r="AE67" s="100">
        <v>0</v>
      </c>
      <c r="AF67" s="100">
        <v>0</v>
      </c>
      <c r="AG67" s="100" t="s">
        <v>73</v>
      </c>
      <c r="AH67" s="100">
        <v>0</v>
      </c>
      <c r="AI67" s="100">
        <v>0</v>
      </c>
      <c r="AJ67" s="100">
        <v>0</v>
      </c>
      <c r="AK67" s="100">
        <v>0</v>
      </c>
      <c r="AL67" s="100">
        <v>0</v>
      </c>
      <c r="AM67" s="100">
        <v>0</v>
      </c>
      <c r="AN67" s="100">
        <v>0</v>
      </c>
      <c r="AO67" s="100">
        <v>0</v>
      </c>
      <c r="AP67" s="100">
        <v>1</v>
      </c>
      <c r="AQ67" s="100" t="s">
        <v>519</v>
      </c>
      <c r="AR67" s="100" t="s">
        <v>227</v>
      </c>
      <c r="AS67" s="32" t="s">
        <v>287</v>
      </c>
      <c r="AT67" s="100" t="s">
        <v>229</v>
      </c>
      <c r="AU67" s="174" t="e">
        <f t="shared" si="26"/>
        <v>#NUM!</v>
      </c>
      <c r="AV67" s="175" t="s">
        <v>80</v>
      </c>
      <c r="AW67" s="100">
        <v>3.2</v>
      </c>
      <c r="AX67" s="176" t="s">
        <v>73</v>
      </c>
      <c r="AY67" s="176" t="s">
        <v>73</v>
      </c>
      <c r="AZ67" s="177" t="e">
        <f t="shared" si="27"/>
        <v>#VALUE!</v>
      </c>
      <c r="BA67" s="178">
        <v>0.254</v>
      </c>
      <c r="BB67" s="179" t="e">
        <f t="shared" si="24"/>
        <v>#NUM!</v>
      </c>
      <c r="BC67" s="100" t="s">
        <v>73</v>
      </c>
      <c r="BD67" s="100" t="s">
        <v>73</v>
      </c>
      <c r="BE67" s="100" t="s">
        <v>73</v>
      </c>
      <c r="BF67" s="100" t="s">
        <v>73</v>
      </c>
      <c r="BG67" s="100" t="s">
        <v>73</v>
      </c>
      <c r="BH67" s="100" t="s">
        <v>73</v>
      </c>
      <c r="BI67" s="180">
        <v>97</v>
      </c>
      <c r="BJ67" s="100">
        <v>1164</v>
      </c>
      <c r="BK67" s="100" t="s">
        <v>73</v>
      </c>
      <c r="BL67" s="100" t="s">
        <v>73</v>
      </c>
      <c r="BM67" s="100" t="s">
        <v>73</v>
      </c>
      <c r="BN67" s="100" t="s">
        <v>73</v>
      </c>
      <c r="BO67" s="100" t="s">
        <v>73</v>
      </c>
      <c r="BP67" s="100">
        <v>0</v>
      </c>
      <c r="BQ67" s="100" t="s">
        <v>73</v>
      </c>
      <c r="BR67" s="100">
        <v>0</v>
      </c>
      <c r="BS67" s="100" t="s">
        <v>73</v>
      </c>
      <c r="BT67" s="100" t="s">
        <v>278</v>
      </c>
      <c r="BU67" s="100">
        <v>0</v>
      </c>
      <c r="BV67" s="100">
        <v>0</v>
      </c>
      <c r="BW67" s="100">
        <v>0</v>
      </c>
      <c r="BX67" s="156">
        <f t="shared" si="28"/>
        <v>3.9656281030740814E-2</v>
      </c>
      <c r="BY67" s="156">
        <f t="shared" si="30"/>
        <v>3.9677088763029514E-2</v>
      </c>
      <c r="BZ67" s="156">
        <f t="shared" si="31"/>
        <v>1.0416640850725469E-2</v>
      </c>
      <c r="CA67" s="156">
        <f t="shared" si="32"/>
        <v>1.0638297872340425E-2</v>
      </c>
      <c r="CB67" s="122">
        <f t="shared" si="29"/>
        <v>7.9375000000000001E-2</v>
      </c>
      <c r="CC67" s="32">
        <f t="shared" si="25"/>
        <v>96</v>
      </c>
      <c r="CD67" s="95" t="s">
        <v>73</v>
      </c>
    </row>
    <row r="68" spans="1:82" ht="16">
      <c r="A68" s="100" t="s">
        <v>68</v>
      </c>
      <c r="B68" s="95">
        <v>13</v>
      </c>
      <c r="C68" s="100">
        <v>1140</v>
      </c>
      <c r="D68" s="100">
        <v>129</v>
      </c>
      <c r="E68" s="100" t="s">
        <v>515</v>
      </c>
      <c r="F68" s="100">
        <v>2012</v>
      </c>
      <c r="G68" s="100" t="s">
        <v>574</v>
      </c>
      <c r="H68" s="100" t="s">
        <v>575</v>
      </c>
      <c r="I68" s="100">
        <v>2</v>
      </c>
      <c r="J68" s="100">
        <v>2009</v>
      </c>
      <c r="K68" s="100" t="s">
        <v>73</v>
      </c>
      <c r="L68" s="100">
        <v>67</v>
      </c>
      <c r="M68" s="100" t="s">
        <v>155</v>
      </c>
      <c r="N68" s="100" t="s">
        <v>112</v>
      </c>
      <c r="O68" s="100" t="s">
        <v>148</v>
      </c>
      <c r="P68" s="100" t="s">
        <v>269</v>
      </c>
      <c r="Q68" s="100" t="s">
        <v>260</v>
      </c>
      <c r="R68" s="100" t="s">
        <v>270</v>
      </c>
      <c r="S68" s="100">
        <v>1</v>
      </c>
      <c r="T68" s="100" t="s">
        <v>324</v>
      </c>
      <c r="U68" s="100">
        <v>0</v>
      </c>
      <c r="V68" s="100" t="s">
        <v>225</v>
      </c>
      <c r="W68" s="100" t="s">
        <v>225</v>
      </c>
      <c r="X68" s="100" t="s">
        <v>73</v>
      </c>
      <c r="Y68" s="100">
        <v>0</v>
      </c>
      <c r="Z68" s="100">
        <v>0</v>
      </c>
      <c r="AA68" s="100">
        <v>1</v>
      </c>
      <c r="AB68" s="100">
        <v>0</v>
      </c>
      <c r="AC68" s="100">
        <v>0</v>
      </c>
      <c r="AD68" s="100">
        <v>0</v>
      </c>
      <c r="AE68" s="100">
        <v>0</v>
      </c>
      <c r="AF68" s="100">
        <v>0</v>
      </c>
      <c r="AG68" s="100" t="s">
        <v>73</v>
      </c>
      <c r="AH68" s="100">
        <v>0</v>
      </c>
      <c r="AI68" s="100">
        <v>0</v>
      </c>
      <c r="AJ68" s="100">
        <v>0</v>
      </c>
      <c r="AK68" s="100">
        <v>0</v>
      </c>
      <c r="AL68" s="100">
        <v>0</v>
      </c>
      <c r="AM68" s="100">
        <v>0</v>
      </c>
      <c r="AN68" s="100">
        <v>0</v>
      </c>
      <c r="AO68" s="100">
        <v>0</v>
      </c>
      <c r="AP68" s="100">
        <v>1</v>
      </c>
      <c r="AQ68" s="100" t="s">
        <v>519</v>
      </c>
      <c r="AR68" s="100" t="s">
        <v>227</v>
      </c>
      <c r="AS68" s="32" t="s">
        <v>287</v>
      </c>
      <c r="AT68" s="100" t="s">
        <v>229</v>
      </c>
      <c r="AU68" s="174" t="e">
        <f t="shared" si="26"/>
        <v>#NUM!</v>
      </c>
      <c r="AV68" s="175" t="s">
        <v>80</v>
      </c>
      <c r="AW68" s="100">
        <v>4.0999999999999996</v>
      </c>
      <c r="AX68" s="176" t="s">
        <v>73</v>
      </c>
      <c r="AY68" s="176" t="s">
        <v>73</v>
      </c>
      <c r="AZ68" s="177" t="e">
        <f t="shared" si="27"/>
        <v>#VALUE!</v>
      </c>
      <c r="BA68" s="178">
        <v>0.30880000000000002</v>
      </c>
      <c r="BB68" s="179" t="e">
        <f t="shared" si="24"/>
        <v>#NUM!</v>
      </c>
      <c r="BC68" s="100" t="s">
        <v>73</v>
      </c>
      <c r="BD68" s="100" t="s">
        <v>73</v>
      </c>
      <c r="BE68" s="100" t="s">
        <v>73</v>
      </c>
      <c r="BF68" s="100" t="s">
        <v>73</v>
      </c>
      <c r="BG68" s="100" t="s">
        <v>73</v>
      </c>
      <c r="BH68" s="100" t="s">
        <v>73</v>
      </c>
      <c r="BI68" s="180">
        <v>90</v>
      </c>
      <c r="BJ68" s="100">
        <v>1080</v>
      </c>
      <c r="BK68" s="100" t="s">
        <v>73</v>
      </c>
      <c r="BL68" s="100" t="s">
        <v>73</v>
      </c>
      <c r="BM68" s="100" t="s">
        <v>73</v>
      </c>
      <c r="BN68" s="100" t="s">
        <v>73</v>
      </c>
      <c r="BO68" s="100" t="s">
        <v>73</v>
      </c>
      <c r="BP68" s="100">
        <v>0</v>
      </c>
      <c r="BQ68" s="100" t="s">
        <v>73</v>
      </c>
      <c r="BR68" s="100">
        <v>0</v>
      </c>
      <c r="BS68" s="100" t="s">
        <v>73</v>
      </c>
      <c r="BT68" s="100" t="s">
        <v>387</v>
      </c>
      <c r="BU68" s="100">
        <v>0</v>
      </c>
      <c r="BV68" s="100">
        <v>0</v>
      </c>
      <c r="BW68" s="100">
        <v>0</v>
      </c>
      <c r="BX68" s="156">
        <f t="shared" si="28"/>
        <v>3.7631861937430795E-2</v>
      </c>
      <c r="BY68" s="156">
        <f t="shared" si="30"/>
        <v>3.7649641255509014E-2</v>
      </c>
      <c r="BZ68" s="156">
        <f t="shared" si="31"/>
        <v>1.1235932479848823E-2</v>
      </c>
      <c r="CA68" s="156">
        <f t="shared" si="32"/>
        <v>1.1494252873563218E-2</v>
      </c>
      <c r="CB68" s="122">
        <f t="shared" si="29"/>
        <v>7.5317073170731719E-2</v>
      </c>
      <c r="CC68" s="32">
        <f t="shared" si="25"/>
        <v>89</v>
      </c>
      <c r="CD68" s="95" t="s">
        <v>73</v>
      </c>
    </row>
    <row r="69" spans="1:82" ht="16">
      <c r="A69" s="100" t="s">
        <v>68</v>
      </c>
      <c r="B69" s="95">
        <v>13</v>
      </c>
      <c r="C69" s="100">
        <v>1141</v>
      </c>
      <c r="D69" s="100">
        <v>129</v>
      </c>
      <c r="E69" s="100" t="s">
        <v>515</v>
      </c>
      <c r="F69" s="100">
        <v>2012</v>
      </c>
      <c r="G69" s="100" t="s">
        <v>574</v>
      </c>
      <c r="H69" s="100" t="s">
        <v>575</v>
      </c>
      <c r="I69" s="100">
        <v>2</v>
      </c>
      <c r="J69" s="100">
        <v>2009</v>
      </c>
      <c r="K69" s="100" t="s">
        <v>73</v>
      </c>
      <c r="L69" s="100">
        <v>67</v>
      </c>
      <c r="M69" s="100" t="s">
        <v>155</v>
      </c>
      <c r="N69" s="100" t="s">
        <v>112</v>
      </c>
      <c r="O69" s="100" t="s">
        <v>148</v>
      </c>
      <c r="P69" s="100" t="s">
        <v>269</v>
      </c>
      <c r="Q69" s="100" t="s">
        <v>260</v>
      </c>
      <c r="R69" s="100" t="s">
        <v>270</v>
      </c>
      <c r="S69" s="100">
        <v>1</v>
      </c>
      <c r="T69" s="100" t="s">
        <v>324</v>
      </c>
      <c r="U69" s="100">
        <v>0</v>
      </c>
      <c r="V69" s="100" t="s">
        <v>225</v>
      </c>
      <c r="W69" s="100" t="s">
        <v>225</v>
      </c>
      <c r="X69" s="100" t="s">
        <v>73</v>
      </c>
      <c r="Y69" s="100">
        <v>0</v>
      </c>
      <c r="Z69" s="100">
        <v>0</v>
      </c>
      <c r="AA69" s="100">
        <v>1</v>
      </c>
      <c r="AB69" s="100">
        <v>0</v>
      </c>
      <c r="AC69" s="100">
        <v>0</v>
      </c>
      <c r="AD69" s="100">
        <v>0</v>
      </c>
      <c r="AE69" s="100">
        <v>0</v>
      </c>
      <c r="AF69" s="100">
        <v>0</v>
      </c>
      <c r="AG69" s="100" t="s">
        <v>73</v>
      </c>
      <c r="AH69" s="100">
        <v>0</v>
      </c>
      <c r="AI69" s="100">
        <v>0</v>
      </c>
      <c r="AJ69" s="100">
        <v>0</v>
      </c>
      <c r="AK69" s="100">
        <v>0</v>
      </c>
      <c r="AL69" s="100">
        <v>0</v>
      </c>
      <c r="AM69" s="100">
        <v>0</v>
      </c>
      <c r="AN69" s="100">
        <v>0</v>
      </c>
      <c r="AO69" s="100">
        <v>0</v>
      </c>
      <c r="AP69" s="100">
        <v>1</v>
      </c>
      <c r="AQ69" s="100" t="s">
        <v>519</v>
      </c>
      <c r="AR69" s="100" t="s">
        <v>227</v>
      </c>
      <c r="AS69" s="32" t="s">
        <v>287</v>
      </c>
      <c r="AT69" s="100" t="s">
        <v>229</v>
      </c>
      <c r="AU69" s="174" t="e">
        <f t="shared" si="26"/>
        <v>#NUM!</v>
      </c>
      <c r="AV69" s="175" t="s">
        <v>80</v>
      </c>
      <c r="AW69" s="100">
        <v>4.3</v>
      </c>
      <c r="AX69" s="176" t="s">
        <v>73</v>
      </c>
      <c r="AY69" s="176" t="s">
        <v>73</v>
      </c>
      <c r="AZ69" s="177" t="e">
        <f t="shared" si="27"/>
        <v>#VALUE!</v>
      </c>
      <c r="BA69" s="178">
        <v>0.45700000000000002</v>
      </c>
      <c r="BB69" s="179" t="e">
        <f t="shared" si="24"/>
        <v>#NUM!</v>
      </c>
      <c r="BC69" s="100" t="s">
        <v>73</v>
      </c>
      <c r="BD69" s="100" t="s">
        <v>73</v>
      </c>
      <c r="BE69" s="100" t="s">
        <v>73</v>
      </c>
      <c r="BF69" s="100" t="s">
        <v>73</v>
      </c>
      <c r="BG69" s="100" t="s">
        <v>73</v>
      </c>
      <c r="BH69" s="100" t="s">
        <v>73</v>
      </c>
      <c r="BI69" s="180">
        <v>97</v>
      </c>
      <c r="BJ69" s="100">
        <v>1164</v>
      </c>
      <c r="BK69" s="100" t="s">
        <v>73</v>
      </c>
      <c r="BL69" s="100" t="s">
        <v>73</v>
      </c>
      <c r="BM69" s="100" t="s">
        <v>73</v>
      </c>
      <c r="BN69" s="100" t="s">
        <v>73</v>
      </c>
      <c r="BO69" s="100" t="s">
        <v>73</v>
      </c>
      <c r="BP69" s="100">
        <v>0</v>
      </c>
      <c r="BQ69" s="100" t="s">
        <v>73</v>
      </c>
      <c r="BR69" s="100">
        <v>0</v>
      </c>
      <c r="BS69" s="100" t="s">
        <v>73</v>
      </c>
      <c r="BT69" s="100" t="s">
        <v>278</v>
      </c>
      <c r="BU69" s="100">
        <v>0</v>
      </c>
      <c r="BV69" s="100">
        <v>0</v>
      </c>
      <c r="BW69" s="100">
        <v>0</v>
      </c>
      <c r="BX69" s="156">
        <f t="shared" si="28"/>
        <v>5.306466542985009E-2</v>
      </c>
      <c r="BY69" s="156">
        <f t="shared" si="30"/>
        <v>5.3114557283637655E-2</v>
      </c>
      <c r="BZ69" s="156">
        <f t="shared" si="31"/>
        <v>1.0416583761226261E-2</v>
      </c>
      <c r="CA69" s="156">
        <f t="shared" si="32"/>
        <v>1.0638297872340425E-2</v>
      </c>
      <c r="CB69" s="122">
        <f t="shared" si="29"/>
        <v>0.10627906976744186</v>
      </c>
      <c r="CC69" s="32">
        <f t="shared" si="25"/>
        <v>96</v>
      </c>
      <c r="CD69" s="95" t="s">
        <v>73</v>
      </c>
    </row>
    <row r="70" spans="1:82" ht="16">
      <c r="A70" s="95" t="s">
        <v>68</v>
      </c>
      <c r="B70" s="95">
        <v>14</v>
      </c>
      <c r="C70" s="11">
        <v>1118</v>
      </c>
      <c r="D70" s="95">
        <v>124</v>
      </c>
      <c r="E70" s="95" t="s">
        <v>443</v>
      </c>
      <c r="F70" s="95">
        <v>2018</v>
      </c>
      <c r="G70" s="95" t="s">
        <v>444</v>
      </c>
      <c r="H70" s="95" t="s">
        <v>445</v>
      </c>
      <c r="I70" s="95">
        <v>2</v>
      </c>
      <c r="J70" s="95">
        <v>2015</v>
      </c>
      <c r="K70" s="95" t="s">
        <v>73</v>
      </c>
      <c r="L70" s="95">
        <v>28</v>
      </c>
      <c r="M70" s="95" t="s">
        <v>155</v>
      </c>
      <c r="N70" s="95" t="s">
        <v>112</v>
      </c>
      <c r="O70" s="95" t="s">
        <v>446</v>
      </c>
      <c r="P70" s="95" t="s">
        <v>269</v>
      </c>
      <c r="Q70" s="95" t="s">
        <v>236</v>
      </c>
      <c r="R70" s="159" t="s">
        <v>270</v>
      </c>
      <c r="S70" s="95">
        <v>1</v>
      </c>
      <c r="T70" s="95" t="s">
        <v>324</v>
      </c>
      <c r="U70" s="95">
        <v>0</v>
      </c>
      <c r="V70" s="95" t="s">
        <v>225</v>
      </c>
      <c r="W70" s="95" t="s">
        <v>225</v>
      </c>
      <c r="X70" s="95" t="s">
        <v>73</v>
      </c>
      <c r="Y70" s="95">
        <v>0</v>
      </c>
      <c r="Z70" s="95">
        <v>0</v>
      </c>
      <c r="AA70" s="95">
        <v>1</v>
      </c>
      <c r="AB70" s="95">
        <v>0</v>
      </c>
      <c r="AC70" s="95">
        <v>0</v>
      </c>
      <c r="AD70" s="95">
        <v>0</v>
      </c>
      <c r="AE70" s="95">
        <v>0</v>
      </c>
      <c r="AF70" s="95">
        <v>0</v>
      </c>
      <c r="AG70" s="95" t="s">
        <v>447</v>
      </c>
      <c r="AH70" s="95">
        <v>0</v>
      </c>
      <c r="AI70" s="95">
        <v>0</v>
      </c>
      <c r="AJ70" s="95">
        <v>0</v>
      </c>
      <c r="AK70" s="95">
        <v>0</v>
      </c>
      <c r="AL70" s="95">
        <v>0</v>
      </c>
      <c r="AM70" s="95">
        <v>0</v>
      </c>
      <c r="AN70" s="95">
        <v>0</v>
      </c>
      <c r="AO70" s="95">
        <v>1</v>
      </c>
      <c r="AP70" s="95">
        <v>0</v>
      </c>
      <c r="AQ70" s="95" t="s">
        <v>448</v>
      </c>
      <c r="AR70" s="95" t="s">
        <v>227</v>
      </c>
      <c r="AS70" s="95" t="s">
        <v>287</v>
      </c>
      <c r="AT70" s="95" t="s">
        <v>229</v>
      </c>
      <c r="AU70" s="104">
        <v>0.53</v>
      </c>
      <c r="AV70" s="97" t="s">
        <v>80</v>
      </c>
      <c r="AW70" s="95">
        <v>0.26</v>
      </c>
      <c r="AX70" s="95" t="s">
        <v>73</v>
      </c>
      <c r="AY70" s="95">
        <v>3</v>
      </c>
      <c r="AZ70" s="95">
        <f>AU70/AW70</f>
        <v>2.0384615384615383</v>
      </c>
      <c r="BA70" s="169">
        <f t="shared" ref="BA70:BA78" si="33">EXP(AU70)-1</f>
        <v>0.6989323086185506</v>
      </c>
      <c r="BB70" s="99">
        <f t="shared" si="24"/>
        <v>0.62948311196739493</v>
      </c>
      <c r="BC70" s="95" t="s">
        <v>73</v>
      </c>
      <c r="BD70" s="95" t="s">
        <v>73</v>
      </c>
      <c r="BE70" s="95" t="s">
        <v>73</v>
      </c>
      <c r="BF70" s="95" t="s">
        <v>73</v>
      </c>
      <c r="BG70" s="95" t="s">
        <v>73</v>
      </c>
      <c r="BH70" s="95" t="s">
        <v>73</v>
      </c>
      <c r="BI70" s="95">
        <v>148</v>
      </c>
      <c r="BJ70" s="95">
        <v>1184</v>
      </c>
      <c r="BK70" s="95" t="s">
        <v>73</v>
      </c>
      <c r="BL70" s="95" t="s">
        <v>73</v>
      </c>
      <c r="BM70" s="95" t="s">
        <v>73</v>
      </c>
      <c r="BN70" s="95" t="s">
        <v>73</v>
      </c>
      <c r="BO70" s="95" t="s">
        <v>73</v>
      </c>
      <c r="BP70" s="95">
        <v>0</v>
      </c>
      <c r="BQ70" s="95" t="s">
        <v>73</v>
      </c>
      <c r="BR70" s="95">
        <v>0</v>
      </c>
      <c r="BS70" s="95" t="s">
        <v>73</v>
      </c>
      <c r="BT70" s="95" t="s">
        <v>377</v>
      </c>
      <c r="BU70" s="95">
        <v>0</v>
      </c>
      <c r="BV70" s="95">
        <v>0</v>
      </c>
      <c r="BW70" s="95">
        <v>1</v>
      </c>
      <c r="BX70" s="30">
        <f t="shared" ref="BX70:BX112" si="34">((AZ70^2)/(AZ70^2+BI70))^(1/2)</f>
        <v>0.16525664934411763</v>
      </c>
      <c r="BY70" s="30">
        <f t="shared" si="30"/>
        <v>0.16678616424140319</v>
      </c>
      <c r="BZ70" s="30">
        <f t="shared" si="31"/>
        <v>6.7974570051877199E-3</v>
      </c>
      <c r="CA70" s="30">
        <f t="shared" si="32"/>
        <v>6.8965517241379309E-3</v>
      </c>
      <c r="CB70" s="95" t="s">
        <v>73</v>
      </c>
      <c r="CC70">
        <f t="shared" si="25"/>
        <v>147</v>
      </c>
      <c r="CD70" s="95" t="s">
        <v>73</v>
      </c>
    </row>
    <row r="71" spans="1:82" ht="16">
      <c r="A71" s="95" t="s">
        <v>68</v>
      </c>
      <c r="B71" s="95">
        <v>14</v>
      </c>
      <c r="C71" s="11">
        <v>1119</v>
      </c>
      <c r="D71" s="95">
        <v>124</v>
      </c>
      <c r="E71" s="95" t="s">
        <v>443</v>
      </c>
      <c r="F71" s="95">
        <v>2018</v>
      </c>
      <c r="G71" s="95" t="s">
        <v>444</v>
      </c>
      <c r="H71" s="95" t="s">
        <v>445</v>
      </c>
      <c r="I71" s="95">
        <v>2</v>
      </c>
      <c r="J71" s="95">
        <v>2015</v>
      </c>
      <c r="K71" s="95" t="s">
        <v>73</v>
      </c>
      <c r="L71" s="95">
        <v>28</v>
      </c>
      <c r="M71" s="95" t="s">
        <v>155</v>
      </c>
      <c r="N71" s="95" t="s">
        <v>112</v>
      </c>
      <c r="O71" s="95" t="s">
        <v>446</v>
      </c>
      <c r="P71" s="95" t="s">
        <v>269</v>
      </c>
      <c r="Q71" s="95" t="s">
        <v>236</v>
      </c>
      <c r="R71" s="159" t="s">
        <v>270</v>
      </c>
      <c r="S71" s="95">
        <v>1</v>
      </c>
      <c r="T71" s="95" t="s">
        <v>324</v>
      </c>
      <c r="U71" s="95">
        <v>0</v>
      </c>
      <c r="V71" s="95" t="s">
        <v>225</v>
      </c>
      <c r="W71" s="95" t="s">
        <v>225</v>
      </c>
      <c r="X71" s="95" t="s">
        <v>73</v>
      </c>
      <c r="Y71" s="95">
        <v>0</v>
      </c>
      <c r="Z71" s="95">
        <v>0</v>
      </c>
      <c r="AA71" s="95">
        <v>1</v>
      </c>
      <c r="AB71" s="95">
        <v>0</v>
      </c>
      <c r="AC71" s="95">
        <v>0</v>
      </c>
      <c r="AD71" s="95">
        <v>0</v>
      </c>
      <c r="AE71" s="95">
        <v>0</v>
      </c>
      <c r="AF71" s="95">
        <v>0</v>
      </c>
      <c r="AG71" s="95" t="s">
        <v>447</v>
      </c>
      <c r="AH71" s="95">
        <v>0</v>
      </c>
      <c r="AI71" s="95">
        <v>0</v>
      </c>
      <c r="AJ71" s="95">
        <v>0</v>
      </c>
      <c r="AK71" s="95">
        <v>0</v>
      </c>
      <c r="AL71" s="95">
        <v>0</v>
      </c>
      <c r="AM71" s="95">
        <v>0</v>
      </c>
      <c r="AN71" s="95">
        <v>0</v>
      </c>
      <c r="AO71" s="95">
        <v>1</v>
      </c>
      <c r="AP71" s="95">
        <v>0</v>
      </c>
      <c r="AQ71" s="95" t="s">
        <v>503</v>
      </c>
      <c r="AR71" s="95" t="s">
        <v>227</v>
      </c>
      <c r="AS71" s="95" t="s">
        <v>287</v>
      </c>
      <c r="AT71" s="95" t="s">
        <v>229</v>
      </c>
      <c r="AU71" s="104">
        <v>1.0900000000000001</v>
      </c>
      <c r="AV71" s="97" t="s">
        <v>80</v>
      </c>
      <c r="AW71" s="95">
        <v>0.39</v>
      </c>
      <c r="AX71" s="95" t="s">
        <v>73</v>
      </c>
      <c r="AY71" s="95">
        <v>3</v>
      </c>
      <c r="AZ71" s="95">
        <f>AU71/AW71</f>
        <v>2.7948717948717952</v>
      </c>
      <c r="BA71" s="169">
        <f t="shared" si="33"/>
        <v>1.9742740725630656</v>
      </c>
      <c r="BB71" s="99">
        <f t="shared" si="24"/>
        <v>0.74838172160706429</v>
      </c>
      <c r="BC71" s="95" t="s">
        <v>73</v>
      </c>
      <c r="BD71" s="95" t="s">
        <v>73</v>
      </c>
      <c r="BE71" s="95" t="s">
        <v>73</v>
      </c>
      <c r="BF71" s="95" t="s">
        <v>73</v>
      </c>
      <c r="BG71" s="95" t="s">
        <v>73</v>
      </c>
      <c r="BH71" s="95" t="s">
        <v>73</v>
      </c>
      <c r="BI71" s="95">
        <v>148</v>
      </c>
      <c r="BJ71" s="95">
        <v>1184</v>
      </c>
      <c r="BK71" s="95" t="s">
        <v>73</v>
      </c>
      <c r="BL71" s="95" t="s">
        <v>73</v>
      </c>
      <c r="BM71" s="95" t="s">
        <v>73</v>
      </c>
      <c r="BN71" s="95" t="s">
        <v>73</v>
      </c>
      <c r="BO71" s="95" t="s">
        <v>73</v>
      </c>
      <c r="BP71" s="95">
        <v>0</v>
      </c>
      <c r="BQ71" s="95" t="s">
        <v>73</v>
      </c>
      <c r="BR71" s="95">
        <v>0</v>
      </c>
      <c r="BS71" s="95" t="s">
        <v>73</v>
      </c>
      <c r="BT71" s="95" t="s">
        <v>377</v>
      </c>
      <c r="BU71" s="95">
        <v>0</v>
      </c>
      <c r="BV71" s="95">
        <v>0</v>
      </c>
      <c r="BW71" s="95">
        <v>1</v>
      </c>
      <c r="BX71" s="30">
        <f t="shared" si="34"/>
        <v>0.22390428433112008</v>
      </c>
      <c r="BY71" s="30">
        <f t="shared" si="30"/>
        <v>0.22776270171385027</v>
      </c>
      <c r="BZ71" s="30">
        <f t="shared" si="31"/>
        <v>6.7844142609794983E-3</v>
      </c>
      <c r="CA71" s="30">
        <f t="shared" si="32"/>
        <v>6.8965517241379309E-3</v>
      </c>
      <c r="CB71" s="95" t="s">
        <v>73</v>
      </c>
      <c r="CC71">
        <f t="shared" si="25"/>
        <v>147</v>
      </c>
      <c r="CD71" s="95" t="s">
        <v>73</v>
      </c>
    </row>
    <row r="72" spans="1:82" ht="16">
      <c r="A72" s="115" t="s">
        <v>68</v>
      </c>
      <c r="B72" s="115">
        <v>15</v>
      </c>
      <c r="C72" s="115">
        <v>1154</v>
      </c>
      <c r="D72" s="159">
        <v>135</v>
      </c>
      <c r="E72" t="s">
        <v>411</v>
      </c>
      <c r="F72" s="115">
        <v>2014</v>
      </c>
      <c r="G72" t="s">
        <v>412</v>
      </c>
      <c r="H72" t="s">
        <v>413</v>
      </c>
      <c r="I72" s="159">
        <v>2</v>
      </c>
      <c r="J72">
        <v>2012</v>
      </c>
      <c r="K72" s="115" t="s">
        <v>73</v>
      </c>
      <c r="L72" s="159">
        <v>12</v>
      </c>
      <c r="M72" t="s">
        <v>308</v>
      </c>
      <c r="N72" t="s">
        <v>268</v>
      </c>
      <c r="O72" t="s">
        <v>414</v>
      </c>
      <c r="P72" t="s">
        <v>269</v>
      </c>
      <c r="Q72" t="s">
        <v>260</v>
      </c>
      <c r="R72" t="s">
        <v>270</v>
      </c>
      <c r="S72">
        <v>0</v>
      </c>
      <c r="T72" t="s">
        <v>324</v>
      </c>
      <c r="U72">
        <v>0</v>
      </c>
      <c r="V72" s="115" t="s">
        <v>225</v>
      </c>
      <c r="W72" s="115" t="s">
        <v>225</v>
      </c>
      <c r="X72" s="115" t="s">
        <v>73</v>
      </c>
      <c r="Y72" s="159">
        <v>0</v>
      </c>
      <c r="Z72" s="159">
        <v>0</v>
      </c>
      <c r="AA72" s="159">
        <v>1</v>
      </c>
      <c r="AB72" s="159">
        <v>0</v>
      </c>
      <c r="AC72" s="159">
        <v>0</v>
      </c>
      <c r="AD72" s="159">
        <v>0</v>
      </c>
      <c r="AE72" s="159">
        <v>0</v>
      </c>
      <c r="AF72" s="159">
        <v>0</v>
      </c>
      <c r="AG72" s="159" t="s">
        <v>415</v>
      </c>
      <c r="AH72" s="159">
        <v>0</v>
      </c>
      <c r="AI72" s="159">
        <v>0</v>
      </c>
      <c r="AJ72" s="159">
        <v>0</v>
      </c>
      <c r="AK72" s="159">
        <v>1</v>
      </c>
      <c r="AL72" s="159">
        <v>0</v>
      </c>
      <c r="AM72" s="159">
        <v>0</v>
      </c>
      <c r="AN72" s="159">
        <v>0</v>
      </c>
      <c r="AO72" s="159">
        <v>0</v>
      </c>
      <c r="AP72" s="159">
        <v>0</v>
      </c>
      <c r="AQ72" t="s">
        <v>73</v>
      </c>
      <c r="AR72" t="s">
        <v>227</v>
      </c>
      <c r="AS72" t="s">
        <v>416</v>
      </c>
      <c r="AT72" t="s">
        <v>229</v>
      </c>
      <c r="AU72" s="21">
        <v>0.25530000000000003</v>
      </c>
      <c r="AV72" s="7" t="s">
        <v>80</v>
      </c>
      <c r="AW72" t="s">
        <v>73</v>
      </c>
      <c r="AX72">
        <v>1.23E-2</v>
      </c>
      <c r="AY72">
        <v>3</v>
      </c>
      <c r="AZ72" s="108">
        <f>TINV(AX72,CC72)</f>
        <v>2.5125829401851192</v>
      </c>
      <c r="BA72" s="181">
        <f t="shared" si="33"/>
        <v>0.29084881743573221</v>
      </c>
      <c r="BB72" s="112">
        <f t="shared" si="24"/>
        <v>0.56348057873179402</v>
      </c>
      <c r="BC72" t="s">
        <v>73</v>
      </c>
      <c r="BD72" t="s">
        <v>73</v>
      </c>
      <c r="BE72" t="s">
        <v>73</v>
      </c>
      <c r="BF72" t="s">
        <v>73</v>
      </c>
      <c r="BG72" t="s">
        <v>73</v>
      </c>
      <c r="BH72" t="s">
        <v>73</v>
      </c>
      <c r="BI72" s="159">
        <v>500</v>
      </c>
      <c r="BJ72" s="159">
        <v>2000</v>
      </c>
      <c r="BK72" s="159" t="s">
        <v>73</v>
      </c>
      <c r="BL72" s="159" t="s">
        <v>73</v>
      </c>
      <c r="BM72" s="159" t="s">
        <v>73</v>
      </c>
      <c r="BN72" s="159" t="s">
        <v>73</v>
      </c>
      <c r="BO72" s="159" t="s">
        <v>73</v>
      </c>
      <c r="BP72">
        <v>0</v>
      </c>
      <c r="BQ72" s="159" t="s">
        <v>73</v>
      </c>
      <c r="BR72">
        <v>1</v>
      </c>
      <c r="BS72" s="182" t="s">
        <v>73</v>
      </c>
      <c r="BT72" t="s">
        <v>377</v>
      </c>
      <c r="BU72" s="159">
        <v>0</v>
      </c>
      <c r="BV72" s="159">
        <v>0</v>
      </c>
      <c r="BW72" s="159">
        <v>1</v>
      </c>
      <c r="BX72" s="30">
        <f t="shared" si="34"/>
        <v>0.11166339711480726</v>
      </c>
      <c r="BY72" s="30">
        <f t="shared" si="30"/>
        <v>0.11213100003996684</v>
      </c>
      <c r="BZ72" s="30">
        <f t="shared" si="31"/>
        <v>2.0036912035849494E-3</v>
      </c>
      <c r="CA72" s="30">
        <f t="shared" si="32"/>
        <v>2.012072434607646E-3</v>
      </c>
      <c r="CB72" s="95" t="s">
        <v>73</v>
      </c>
      <c r="CC72">
        <f t="shared" ref="CC72:CC114" si="35">BI72-2</f>
        <v>498</v>
      </c>
      <c r="CD72" s="95" t="s">
        <v>73</v>
      </c>
    </row>
    <row r="73" spans="1:82" s="131" customFormat="1" ht="16">
      <c r="A73" s="115" t="s">
        <v>68</v>
      </c>
      <c r="B73" s="115">
        <v>15</v>
      </c>
      <c r="C73" s="115">
        <v>1153</v>
      </c>
      <c r="D73" s="159">
        <v>135</v>
      </c>
      <c r="E73" t="s">
        <v>411</v>
      </c>
      <c r="F73" s="115">
        <v>2014</v>
      </c>
      <c r="G73" t="s">
        <v>412</v>
      </c>
      <c r="H73" t="s">
        <v>413</v>
      </c>
      <c r="I73" s="159">
        <v>2</v>
      </c>
      <c r="J73">
        <v>2012</v>
      </c>
      <c r="K73" s="115" t="s">
        <v>73</v>
      </c>
      <c r="L73" s="159">
        <v>12</v>
      </c>
      <c r="M73" t="s">
        <v>417</v>
      </c>
      <c r="N73" t="s">
        <v>268</v>
      </c>
      <c r="O73" t="s">
        <v>414</v>
      </c>
      <c r="P73" t="s">
        <v>269</v>
      </c>
      <c r="Q73" t="s">
        <v>260</v>
      </c>
      <c r="R73" t="s">
        <v>270</v>
      </c>
      <c r="S73">
        <v>0</v>
      </c>
      <c r="T73" t="s">
        <v>324</v>
      </c>
      <c r="U73">
        <v>0</v>
      </c>
      <c r="V73" s="115" t="s">
        <v>225</v>
      </c>
      <c r="W73" s="115" t="s">
        <v>225</v>
      </c>
      <c r="X73" s="115" t="s">
        <v>73</v>
      </c>
      <c r="Y73" s="159">
        <v>0</v>
      </c>
      <c r="Z73" s="159">
        <v>0</v>
      </c>
      <c r="AA73" s="159">
        <v>1</v>
      </c>
      <c r="AB73" s="159">
        <v>0</v>
      </c>
      <c r="AC73" s="159">
        <v>0</v>
      </c>
      <c r="AD73" s="159">
        <v>0</v>
      </c>
      <c r="AE73" s="159">
        <v>0</v>
      </c>
      <c r="AF73" s="159">
        <v>0</v>
      </c>
      <c r="AG73" s="159" t="s">
        <v>415</v>
      </c>
      <c r="AH73" s="159">
        <v>0</v>
      </c>
      <c r="AI73" s="159">
        <v>0</v>
      </c>
      <c r="AJ73" s="159">
        <v>0</v>
      </c>
      <c r="AK73" s="159">
        <v>1</v>
      </c>
      <c r="AL73" s="159">
        <v>0</v>
      </c>
      <c r="AM73" s="159">
        <v>0</v>
      </c>
      <c r="AN73" s="159">
        <v>0</v>
      </c>
      <c r="AO73" s="159">
        <v>0</v>
      </c>
      <c r="AP73" s="159">
        <v>0</v>
      </c>
      <c r="AQ73" t="s">
        <v>73</v>
      </c>
      <c r="AR73" t="s">
        <v>227</v>
      </c>
      <c r="AS73" t="s">
        <v>416</v>
      </c>
      <c r="AT73" t="s">
        <v>229</v>
      </c>
      <c r="AU73" s="21">
        <v>0.30480000000000002</v>
      </c>
      <c r="AV73" s="7" t="s">
        <v>80</v>
      </c>
      <c r="AW73" t="s">
        <v>73</v>
      </c>
      <c r="AX73">
        <v>1.6999999999999999E-3</v>
      </c>
      <c r="AY73">
        <v>3</v>
      </c>
      <c r="AZ73" s="108">
        <f>TINV(AX73,CC73)</f>
        <v>3.1553563075360742</v>
      </c>
      <c r="BA73" s="181">
        <f t="shared" si="33"/>
        <v>0.35635370513631415</v>
      </c>
      <c r="BB73" s="112">
        <f t="shared" si="24"/>
        <v>0.5756154953221887</v>
      </c>
      <c r="BC73" t="s">
        <v>73</v>
      </c>
      <c r="BD73" t="s">
        <v>73</v>
      </c>
      <c r="BE73" t="s">
        <v>73</v>
      </c>
      <c r="BF73" t="s">
        <v>73</v>
      </c>
      <c r="BG73" t="s">
        <v>73</v>
      </c>
      <c r="BH73" t="s">
        <v>73</v>
      </c>
      <c r="BI73" s="159">
        <v>500</v>
      </c>
      <c r="BJ73" s="159">
        <v>2000</v>
      </c>
      <c r="BK73" s="159" t="s">
        <v>73</v>
      </c>
      <c r="BL73" s="159" t="s">
        <v>73</v>
      </c>
      <c r="BM73" s="159" t="s">
        <v>73</v>
      </c>
      <c r="BN73" s="159" t="s">
        <v>73</v>
      </c>
      <c r="BO73" s="159" t="s">
        <v>73</v>
      </c>
      <c r="BP73">
        <v>0</v>
      </c>
      <c r="BQ73" s="159" t="s">
        <v>73</v>
      </c>
      <c r="BR73">
        <v>1</v>
      </c>
      <c r="BS73" s="182" t="s">
        <v>73</v>
      </c>
      <c r="BT73" t="s">
        <v>377</v>
      </c>
      <c r="BU73" s="159">
        <v>0</v>
      </c>
      <c r="BV73" s="159">
        <v>0</v>
      </c>
      <c r="BW73" s="159">
        <v>1</v>
      </c>
      <c r="BX73" s="30">
        <f t="shared" si="34"/>
        <v>0.13972751589048554</v>
      </c>
      <c r="BY73" s="30">
        <f t="shared" si="30"/>
        <v>0.14064765530909937</v>
      </c>
      <c r="BZ73" s="30">
        <f t="shared" si="31"/>
        <v>2.0032238113323235E-3</v>
      </c>
      <c r="CA73" s="30">
        <f t="shared" si="32"/>
        <v>2.012072434607646E-3</v>
      </c>
      <c r="CB73" s="95" t="s">
        <v>73</v>
      </c>
      <c r="CC73">
        <f t="shared" si="35"/>
        <v>498</v>
      </c>
      <c r="CD73" s="95" t="s">
        <v>73</v>
      </c>
    </row>
    <row r="74" spans="1:82" ht="16">
      <c r="A74" s="183" t="s">
        <v>68</v>
      </c>
      <c r="B74" s="183">
        <v>16</v>
      </c>
      <c r="C74" s="184">
        <v>1209</v>
      </c>
      <c r="D74" s="183">
        <v>149</v>
      </c>
      <c r="E74" s="183" t="s">
        <v>309</v>
      </c>
      <c r="F74" s="183">
        <v>2013</v>
      </c>
      <c r="G74" s="183" t="s">
        <v>310</v>
      </c>
      <c r="H74" s="185" t="s">
        <v>311</v>
      </c>
      <c r="I74" s="183">
        <v>1</v>
      </c>
      <c r="J74" s="183">
        <v>2011</v>
      </c>
      <c r="K74" s="183" t="s">
        <v>73</v>
      </c>
      <c r="L74" s="183">
        <v>11</v>
      </c>
      <c r="M74" s="183" t="s">
        <v>172</v>
      </c>
      <c r="N74" s="183" t="s">
        <v>259</v>
      </c>
      <c r="O74" s="183" t="s">
        <v>174</v>
      </c>
      <c r="P74" s="183" t="s">
        <v>221</v>
      </c>
      <c r="Q74" s="183" t="s">
        <v>275</v>
      </c>
      <c r="R74" s="183" t="s">
        <v>276</v>
      </c>
      <c r="S74" s="183">
        <v>0</v>
      </c>
      <c r="T74" s="183" t="s">
        <v>224</v>
      </c>
      <c r="U74" s="183">
        <v>0</v>
      </c>
      <c r="V74" s="183" t="s">
        <v>225</v>
      </c>
      <c r="W74" s="183" t="s">
        <v>225</v>
      </c>
      <c r="X74" s="183" t="s">
        <v>73</v>
      </c>
      <c r="Y74" s="183">
        <v>0</v>
      </c>
      <c r="Z74" s="183">
        <v>0</v>
      </c>
      <c r="AA74" s="183">
        <v>1</v>
      </c>
      <c r="AB74" s="183">
        <v>0</v>
      </c>
      <c r="AC74" s="183">
        <v>0</v>
      </c>
      <c r="AD74" s="183">
        <v>0</v>
      </c>
      <c r="AE74" s="183">
        <v>0</v>
      </c>
      <c r="AF74" s="183">
        <v>0</v>
      </c>
      <c r="AG74" s="183" t="s">
        <v>312</v>
      </c>
      <c r="AH74" s="183">
        <v>0</v>
      </c>
      <c r="AI74" s="183">
        <v>1</v>
      </c>
      <c r="AJ74" s="183">
        <v>0</v>
      </c>
      <c r="AK74" s="183">
        <v>0</v>
      </c>
      <c r="AL74" s="183">
        <v>0</v>
      </c>
      <c r="AM74" s="183">
        <v>0</v>
      </c>
      <c r="AN74" s="183">
        <v>0</v>
      </c>
      <c r="AO74" s="183">
        <v>0</v>
      </c>
      <c r="AP74" s="183">
        <v>0</v>
      </c>
      <c r="AQ74" s="183" t="s">
        <v>73</v>
      </c>
      <c r="AR74" s="183" t="s">
        <v>227</v>
      </c>
      <c r="AS74" s="183" t="s">
        <v>313</v>
      </c>
      <c r="AT74" s="183" t="s">
        <v>73</v>
      </c>
      <c r="AU74" s="186">
        <v>2.3E-2</v>
      </c>
      <c r="AV74" s="187" t="s">
        <v>80</v>
      </c>
      <c r="AW74" s="183" t="s">
        <v>73</v>
      </c>
      <c r="AX74" s="183">
        <v>0.1</v>
      </c>
      <c r="AY74" s="183">
        <v>2</v>
      </c>
      <c r="AZ74" s="19">
        <f>TINV(AX74,CC74)</f>
        <v>1.6449332384326785</v>
      </c>
      <c r="BA74" s="188">
        <f t="shared" si="33"/>
        <v>2.326653954721758E-2</v>
      </c>
      <c r="BB74" s="112">
        <f t="shared" si="24"/>
        <v>0.50574974653424165</v>
      </c>
      <c r="BC74" s="183" t="s">
        <v>73</v>
      </c>
      <c r="BD74" s="183">
        <v>13471</v>
      </c>
      <c r="BE74" s="183" t="s">
        <v>73</v>
      </c>
      <c r="BF74" s="183" t="s">
        <v>73</v>
      </c>
      <c r="BG74" s="183">
        <v>5672</v>
      </c>
      <c r="BH74" s="183" t="s">
        <v>73</v>
      </c>
      <c r="BI74" s="183">
        <v>19143</v>
      </c>
      <c r="BJ74" s="183">
        <v>19143</v>
      </c>
      <c r="BK74" s="183" t="s">
        <v>73</v>
      </c>
      <c r="BL74" s="183" t="s">
        <v>73</v>
      </c>
      <c r="BM74" s="183" t="s">
        <v>73</v>
      </c>
      <c r="BN74" s="183" t="s">
        <v>73</v>
      </c>
      <c r="BO74" s="183" t="s">
        <v>73</v>
      </c>
      <c r="BP74" s="183">
        <v>1</v>
      </c>
      <c r="BQ74" s="183">
        <f>2893*0.1283</f>
        <v>371.17189999999999</v>
      </c>
      <c r="BR74" s="183">
        <v>0</v>
      </c>
      <c r="BS74" s="183" t="s">
        <v>73</v>
      </c>
      <c r="BT74" s="183" t="s">
        <v>278</v>
      </c>
      <c r="BU74" s="183">
        <v>0</v>
      </c>
      <c r="BV74" s="183">
        <v>0</v>
      </c>
      <c r="BW74" s="183">
        <v>0</v>
      </c>
      <c r="BX74" s="189">
        <f t="shared" si="34"/>
        <v>1.1888103724369721E-2</v>
      </c>
      <c r="BY74" s="189">
        <f t="shared" si="30"/>
        <v>1.1888663808582136E-2</v>
      </c>
      <c r="BZ74" s="189">
        <f t="shared" si="31"/>
        <v>5.2241144082275201E-5</v>
      </c>
      <c r="CA74" s="189">
        <f t="shared" si="32"/>
        <v>5.2246603970741903E-5</v>
      </c>
      <c r="CB74" s="95" t="s">
        <v>73</v>
      </c>
      <c r="CC74">
        <f t="shared" si="35"/>
        <v>19141</v>
      </c>
      <c r="CD74" t="s">
        <v>650</v>
      </c>
    </row>
    <row r="75" spans="1:82" ht="16">
      <c r="A75" s="11" t="s">
        <v>427</v>
      </c>
      <c r="B75" s="11">
        <v>17</v>
      </c>
      <c r="C75" s="95">
        <v>1217</v>
      </c>
      <c r="D75" s="106">
        <v>201</v>
      </c>
      <c r="E75" t="s">
        <v>428</v>
      </c>
      <c r="F75" s="105">
        <v>2021</v>
      </c>
      <c r="G75" t="s">
        <v>429</v>
      </c>
      <c r="H75" t="s">
        <v>430</v>
      </c>
      <c r="I75" s="106">
        <v>2</v>
      </c>
      <c r="J75">
        <v>2015</v>
      </c>
      <c r="K75" s="105" t="s">
        <v>73</v>
      </c>
      <c r="L75" s="106">
        <v>10</v>
      </c>
      <c r="M75" t="s">
        <v>155</v>
      </c>
      <c r="N75" t="s">
        <v>292</v>
      </c>
      <c r="O75" t="s">
        <v>307</v>
      </c>
      <c r="P75" t="s">
        <v>73</v>
      </c>
      <c r="Q75" t="s">
        <v>236</v>
      </c>
      <c r="R75" t="s">
        <v>243</v>
      </c>
      <c r="S75">
        <v>0</v>
      </c>
      <c r="T75" t="s">
        <v>224</v>
      </c>
      <c r="U75">
        <v>0</v>
      </c>
      <c r="V75" s="164" t="s">
        <v>252</v>
      </c>
      <c r="W75" s="164" t="s">
        <v>252</v>
      </c>
      <c r="X75" s="190" t="s">
        <v>431</v>
      </c>
      <c r="Y75" s="106">
        <v>0</v>
      </c>
      <c r="Z75" s="106">
        <v>0</v>
      </c>
      <c r="AA75" s="106">
        <v>1</v>
      </c>
      <c r="AB75" s="106">
        <v>0</v>
      </c>
      <c r="AC75" s="106">
        <v>0</v>
      </c>
      <c r="AD75" s="106">
        <v>0</v>
      </c>
      <c r="AE75" s="106">
        <v>0</v>
      </c>
      <c r="AF75" s="106">
        <v>0</v>
      </c>
      <c r="AG75" t="s">
        <v>73</v>
      </c>
      <c r="AH75" s="106">
        <v>1</v>
      </c>
      <c r="AI75" s="106">
        <v>0</v>
      </c>
      <c r="AJ75" s="106">
        <v>0</v>
      </c>
      <c r="AK75" s="106">
        <v>0</v>
      </c>
      <c r="AL75" s="106">
        <v>0</v>
      </c>
      <c r="AM75" s="106">
        <v>0</v>
      </c>
      <c r="AN75" s="106">
        <v>0</v>
      </c>
      <c r="AO75" s="106">
        <v>0</v>
      </c>
      <c r="AP75" s="106">
        <v>0</v>
      </c>
      <c r="AQ75" t="s">
        <v>73</v>
      </c>
      <c r="AR75" t="s">
        <v>227</v>
      </c>
      <c r="AS75" t="s">
        <v>432</v>
      </c>
      <c r="AT75" t="s">
        <v>229</v>
      </c>
      <c r="AU75" s="7">
        <v>0.35299999999999998</v>
      </c>
      <c r="AV75" s="7" t="s">
        <v>80</v>
      </c>
      <c r="AW75">
        <v>7.0999999999999994E-2</v>
      </c>
      <c r="AX75" s="16">
        <v>0</v>
      </c>
      <c r="AY75">
        <v>3</v>
      </c>
      <c r="AZ75" s="19">
        <f>TINV(0.001,CC75)</f>
        <v>3.2990742119196153</v>
      </c>
      <c r="BA75" s="107">
        <f t="shared" si="33"/>
        <v>0.42333114343360179</v>
      </c>
      <c r="BB75" s="112">
        <f t="shared" si="24"/>
        <v>0.58734488156533704</v>
      </c>
      <c r="BC75" s="108" t="s">
        <v>73</v>
      </c>
      <c r="BD75" s="108" t="s">
        <v>73</v>
      </c>
      <c r="BE75" s="108" t="s">
        <v>73</v>
      </c>
      <c r="BF75" s="108" t="s">
        <v>73</v>
      </c>
      <c r="BG75" s="108" t="s">
        <v>73</v>
      </c>
      <c r="BH75" s="108" t="s">
        <v>73</v>
      </c>
      <c r="BI75" s="106">
        <v>1143</v>
      </c>
      <c r="BJ75">
        <f>BI75</f>
        <v>1143</v>
      </c>
      <c r="BK75" s="106" t="s">
        <v>73</v>
      </c>
      <c r="BL75" s="106" t="s">
        <v>73</v>
      </c>
      <c r="BM75" s="106" t="s">
        <v>73</v>
      </c>
      <c r="BN75" s="106" t="s">
        <v>73</v>
      </c>
      <c r="BO75" s="106" t="s">
        <v>73</v>
      </c>
      <c r="BP75" s="106" t="s">
        <v>73</v>
      </c>
      <c r="BQ75" s="106" t="s">
        <v>73</v>
      </c>
      <c r="BR75" s="106" t="s">
        <v>73</v>
      </c>
      <c r="BS75" s="106" t="s">
        <v>73</v>
      </c>
      <c r="BT75" s="106" t="s">
        <v>73</v>
      </c>
      <c r="BU75" s="106">
        <v>0</v>
      </c>
      <c r="BV75" s="106">
        <v>0</v>
      </c>
      <c r="BW75" s="106">
        <v>1</v>
      </c>
      <c r="BX75" s="30">
        <f t="shared" si="34"/>
        <v>9.712052690463481E-2</v>
      </c>
      <c r="BY75" s="30">
        <f t="shared" si="30"/>
        <v>9.7427626579518284E-2</v>
      </c>
      <c r="BZ75" s="30">
        <f t="shared" si="31"/>
        <v>8.7557784521213747E-4</v>
      </c>
      <c r="CA75" s="30">
        <f t="shared" si="32"/>
        <v>8.7719298245614037E-4</v>
      </c>
      <c r="CB75" s="95" t="s">
        <v>73</v>
      </c>
      <c r="CC75">
        <f t="shared" si="35"/>
        <v>1141</v>
      </c>
      <c r="CD75" s="95" t="s">
        <v>73</v>
      </c>
    </row>
    <row r="76" spans="1:82" ht="16">
      <c r="A76" s="11" t="s">
        <v>427</v>
      </c>
      <c r="B76" s="11">
        <v>17</v>
      </c>
      <c r="C76" s="95">
        <v>1215</v>
      </c>
      <c r="D76" s="106">
        <v>201</v>
      </c>
      <c r="E76" t="s">
        <v>428</v>
      </c>
      <c r="F76" s="105">
        <v>2021</v>
      </c>
      <c r="G76" t="s">
        <v>429</v>
      </c>
      <c r="H76" t="s">
        <v>430</v>
      </c>
      <c r="I76" s="106">
        <v>2</v>
      </c>
      <c r="J76">
        <v>2015</v>
      </c>
      <c r="K76" s="105" t="s">
        <v>73</v>
      </c>
      <c r="L76" s="106">
        <v>10</v>
      </c>
      <c r="M76" t="s">
        <v>155</v>
      </c>
      <c r="N76" t="s">
        <v>292</v>
      </c>
      <c r="O76" t="s">
        <v>307</v>
      </c>
      <c r="P76" t="s">
        <v>73</v>
      </c>
      <c r="Q76" t="s">
        <v>236</v>
      </c>
      <c r="R76" t="s">
        <v>243</v>
      </c>
      <c r="S76">
        <v>0</v>
      </c>
      <c r="T76" t="s">
        <v>224</v>
      </c>
      <c r="U76">
        <v>0</v>
      </c>
      <c r="V76" s="164" t="s">
        <v>252</v>
      </c>
      <c r="W76" s="164" t="s">
        <v>252</v>
      </c>
      <c r="X76" s="190" t="s">
        <v>431</v>
      </c>
      <c r="Y76" s="106">
        <v>0</v>
      </c>
      <c r="Z76" s="106">
        <v>0</v>
      </c>
      <c r="AA76" s="106">
        <v>1</v>
      </c>
      <c r="AB76" s="106">
        <v>0</v>
      </c>
      <c r="AC76" s="106">
        <v>0</v>
      </c>
      <c r="AD76" s="106">
        <v>0</v>
      </c>
      <c r="AE76" s="106">
        <v>0</v>
      </c>
      <c r="AF76" s="106">
        <v>0</v>
      </c>
      <c r="AG76" t="s">
        <v>73</v>
      </c>
      <c r="AH76" s="106">
        <v>0</v>
      </c>
      <c r="AI76" s="106">
        <v>0</v>
      </c>
      <c r="AJ76" s="106">
        <v>0</v>
      </c>
      <c r="AK76" s="106">
        <v>0</v>
      </c>
      <c r="AL76" s="106">
        <v>0</v>
      </c>
      <c r="AM76" s="106">
        <v>0</v>
      </c>
      <c r="AN76" s="106">
        <v>0</v>
      </c>
      <c r="AO76" s="106">
        <v>1</v>
      </c>
      <c r="AP76" s="106">
        <v>0</v>
      </c>
      <c r="AQ76" t="s">
        <v>73</v>
      </c>
      <c r="AR76" t="s">
        <v>227</v>
      </c>
      <c r="AS76" t="s">
        <v>432</v>
      </c>
      <c r="AT76" t="s">
        <v>229</v>
      </c>
      <c r="AU76" s="7">
        <v>0.39400000000000002</v>
      </c>
      <c r="AV76" s="7" t="s">
        <v>80</v>
      </c>
      <c r="AW76">
        <v>7.0999999999999994E-2</v>
      </c>
      <c r="AX76" s="16">
        <v>0</v>
      </c>
      <c r="AY76">
        <v>3</v>
      </c>
      <c r="AZ76" s="19">
        <f>TINV(0.001,CC76)</f>
        <v>3.2990742119196153</v>
      </c>
      <c r="BA76" s="107">
        <f t="shared" si="33"/>
        <v>0.48290054867475307</v>
      </c>
      <c r="BB76" s="112">
        <f t="shared" si="24"/>
        <v>0.59724524587432648</v>
      </c>
      <c r="BC76" s="108" t="s">
        <v>73</v>
      </c>
      <c r="BD76" s="108" t="s">
        <v>73</v>
      </c>
      <c r="BE76" s="108" t="s">
        <v>73</v>
      </c>
      <c r="BF76" s="108" t="s">
        <v>73</v>
      </c>
      <c r="BG76" s="108" t="s">
        <v>73</v>
      </c>
      <c r="BH76" s="108" t="s">
        <v>73</v>
      </c>
      <c r="BI76" s="106">
        <v>1143</v>
      </c>
      <c r="BJ76">
        <f>BI76</f>
        <v>1143</v>
      </c>
      <c r="BK76" s="106" t="s">
        <v>73</v>
      </c>
      <c r="BL76" s="106" t="s">
        <v>73</v>
      </c>
      <c r="BM76" s="106" t="s">
        <v>73</v>
      </c>
      <c r="BN76" s="106" t="s">
        <v>73</v>
      </c>
      <c r="BO76" s="106" t="s">
        <v>73</v>
      </c>
      <c r="BP76" s="106" t="s">
        <v>73</v>
      </c>
      <c r="BQ76" s="106" t="s">
        <v>73</v>
      </c>
      <c r="BR76" s="106" t="s">
        <v>73</v>
      </c>
      <c r="BS76" s="106" t="s">
        <v>73</v>
      </c>
      <c r="BT76" s="106" t="s">
        <v>73</v>
      </c>
      <c r="BU76" s="106">
        <v>0</v>
      </c>
      <c r="BV76" s="106">
        <v>0</v>
      </c>
      <c r="BW76" s="106">
        <v>1</v>
      </c>
      <c r="BX76" s="30">
        <f t="shared" si="34"/>
        <v>9.712052690463481E-2</v>
      </c>
      <c r="BY76" s="30">
        <f t="shared" si="30"/>
        <v>9.7427626579518284E-2</v>
      </c>
      <c r="BZ76" s="30">
        <f t="shared" si="31"/>
        <v>8.7557784521213747E-4</v>
      </c>
      <c r="CA76" s="30">
        <f t="shared" si="32"/>
        <v>8.7719298245614037E-4</v>
      </c>
      <c r="CB76" s="95" t="s">
        <v>73</v>
      </c>
      <c r="CC76">
        <f t="shared" si="35"/>
        <v>1141</v>
      </c>
      <c r="CD76" s="95" t="s">
        <v>73</v>
      </c>
    </row>
    <row r="77" spans="1:82" ht="16">
      <c r="A77" s="11" t="s">
        <v>427</v>
      </c>
      <c r="B77" s="11">
        <v>17</v>
      </c>
      <c r="C77" s="95">
        <v>1216</v>
      </c>
      <c r="D77" s="106">
        <v>201</v>
      </c>
      <c r="E77" t="s">
        <v>428</v>
      </c>
      <c r="F77" s="105">
        <v>2021</v>
      </c>
      <c r="G77" t="s">
        <v>429</v>
      </c>
      <c r="H77" t="s">
        <v>430</v>
      </c>
      <c r="I77" s="106">
        <v>2</v>
      </c>
      <c r="J77">
        <v>2015</v>
      </c>
      <c r="K77" s="105" t="s">
        <v>73</v>
      </c>
      <c r="L77" s="106">
        <v>10</v>
      </c>
      <c r="M77" t="s">
        <v>155</v>
      </c>
      <c r="N77" t="s">
        <v>292</v>
      </c>
      <c r="O77" t="s">
        <v>307</v>
      </c>
      <c r="P77" t="s">
        <v>73</v>
      </c>
      <c r="Q77" t="s">
        <v>236</v>
      </c>
      <c r="R77" t="s">
        <v>243</v>
      </c>
      <c r="S77">
        <v>0</v>
      </c>
      <c r="T77" t="s">
        <v>224</v>
      </c>
      <c r="U77">
        <v>0</v>
      </c>
      <c r="V77" s="164" t="s">
        <v>252</v>
      </c>
      <c r="W77" s="164" t="s">
        <v>252</v>
      </c>
      <c r="X77" s="190" t="s">
        <v>438</v>
      </c>
      <c r="Y77" s="106">
        <v>0</v>
      </c>
      <c r="Z77" s="106">
        <v>0</v>
      </c>
      <c r="AA77" s="106">
        <v>0</v>
      </c>
      <c r="AB77" s="106">
        <v>0</v>
      </c>
      <c r="AC77" s="106">
        <v>0</v>
      </c>
      <c r="AD77" s="106">
        <v>1</v>
      </c>
      <c r="AE77" s="106">
        <v>0</v>
      </c>
      <c r="AF77" s="106">
        <v>0</v>
      </c>
      <c r="AG77" t="s">
        <v>73</v>
      </c>
      <c r="AH77" s="106">
        <v>0</v>
      </c>
      <c r="AI77" s="106">
        <v>0</v>
      </c>
      <c r="AJ77" s="106">
        <v>0</v>
      </c>
      <c r="AK77" s="106">
        <v>0</v>
      </c>
      <c r="AL77" s="106">
        <v>0</v>
      </c>
      <c r="AM77" s="106">
        <v>0</v>
      </c>
      <c r="AN77" s="106">
        <v>0</v>
      </c>
      <c r="AO77" s="106">
        <v>1</v>
      </c>
      <c r="AP77" s="106">
        <v>0</v>
      </c>
      <c r="AQ77" t="s">
        <v>73</v>
      </c>
      <c r="AR77" t="s">
        <v>227</v>
      </c>
      <c r="AS77" t="s">
        <v>432</v>
      </c>
      <c r="AT77" t="s">
        <v>229</v>
      </c>
      <c r="AU77" s="7">
        <v>0.45500000000000002</v>
      </c>
      <c r="AV77" s="7" t="s">
        <v>80</v>
      </c>
      <c r="AW77">
        <v>0.22</v>
      </c>
      <c r="AX77" s="16">
        <v>3.7999999999999999E-2</v>
      </c>
      <c r="AY77">
        <v>3</v>
      </c>
      <c r="AZ77" s="19">
        <f t="shared" ref="AZ77:AZ84" si="36">TINV(AX77,CC77)</f>
        <v>2.0772692016703491</v>
      </c>
      <c r="BA77" s="107">
        <f t="shared" si="33"/>
        <v>0.57617338303399124</v>
      </c>
      <c r="BB77" s="112">
        <f t="shared" si="24"/>
        <v>0.61182736900173718</v>
      </c>
      <c r="BC77" s="108" t="s">
        <v>73</v>
      </c>
      <c r="BD77" s="108" t="s">
        <v>73</v>
      </c>
      <c r="BE77" s="108" t="s">
        <v>73</v>
      </c>
      <c r="BF77" s="108" t="s">
        <v>73</v>
      </c>
      <c r="BG77" s="108" t="s">
        <v>73</v>
      </c>
      <c r="BH77" s="108" t="s">
        <v>73</v>
      </c>
      <c r="BI77" s="106">
        <v>1143</v>
      </c>
      <c r="BJ77">
        <f>BI77</f>
        <v>1143</v>
      </c>
      <c r="BK77" s="106" t="s">
        <v>73</v>
      </c>
      <c r="BL77" s="106" t="s">
        <v>73</v>
      </c>
      <c r="BM77" s="106" t="s">
        <v>73</v>
      </c>
      <c r="BN77" s="106" t="s">
        <v>73</v>
      </c>
      <c r="BO77" s="106" t="s">
        <v>73</v>
      </c>
      <c r="BP77" s="106" t="s">
        <v>73</v>
      </c>
      <c r="BQ77" s="106" t="s">
        <v>73</v>
      </c>
      <c r="BR77" s="106" t="s">
        <v>73</v>
      </c>
      <c r="BS77" s="106" t="s">
        <v>73</v>
      </c>
      <c r="BT77" s="106" t="s">
        <v>73</v>
      </c>
      <c r="BU77" s="106">
        <v>0</v>
      </c>
      <c r="BV77" s="106">
        <v>0</v>
      </c>
      <c r="BW77" s="106">
        <v>1</v>
      </c>
      <c r="BX77" s="30">
        <f t="shared" si="34"/>
        <v>6.1326960044274084E-2</v>
      </c>
      <c r="BY77" s="30">
        <f t="shared" si="30"/>
        <v>6.1404017491195166E-2</v>
      </c>
      <c r="BZ77" s="30">
        <f t="shared" si="31"/>
        <v>8.7564429394170699E-4</v>
      </c>
      <c r="CA77" s="30">
        <f t="shared" si="32"/>
        <v>8.7719298245614037E-4</v>
      </c>
      <c r="CB77" s="95" t="s">
        <v>73</v>
      </c>
      <c r="CC77">
        <f t="shared" si="35"/>
        <v>1141</v>
      </c>
      <c r="CD77" s="95" t="s">
        <v>73</v>
      </c>
    </row>
    <row r="78" spans="1:82" ht="16">
      <c r="A78" s="11" t="s">
        <v>427</v>
      </c>
      <c r="B78" s="11">
        <v>17</v>
      </c>
      <c r="C78" s="95">
        <v>1218</v>
      </c>
      <c r="D78" s="106">
        <v>201</v>
      </c>
      <c r="E78" t="s">
        <v>428</v>
      </c>
      <c r="F78" s="105">
        <v>2021</v>
      </c>
      <c r="G78" t="s">
        <v>429</v>
      </c>
      <c r="H78" t="s">
        <v>430</v>
      </c>
      <c r="I78" s="106">
        <v>2</v>
      </c>
      <c r="J78">
        <v>2015</v>
      </c>
      <c r="K78" s="105" t="s">
        <v>73</v>
      </c>
      <c r="L78" s="106">
        <v>10</v>
      </c>
      <c r="M78" t="s">
        <v>155</v>
      </c>
      <c r="N78" t="s">
        <v>292</v>
      </c>
      <c r="O78" t="s">
        <v>307</v>
      </c>
      <c r="P78" t="s">
        <v>73</v>
      </c>
      <c r="Q78" t="s">
        <v>236</v>
      </c>
      <c r="R78" t="s">
        <v>243</v>
      </c>
      <c r="S78">
        <v>0</v>
      </c>
      <c r="T78" t="s">
        <v>224</v>
      </c>
      <c r="U78">
        <v>0</v>
      </c>
      <c r="V78" s="164" t="s">
        <v>252</v>
      </c>
      <c r="W78" s="164" t="s">
        <v>252</v>
      </c>
      <c r="X78" s="190" t="s">
        <v>438</v>
      </c>
      <c r="Y78" s="106">
        <v>0</v>
      </c>
      <c r="Z78" s="106">
        <v>0</v>
      </c>
      <c r="AA78" s="106">
        <v>0</v>
      </c>
      <c r="AB78" s="106">
        <v>0</v>
      </c>
      <c r="AC78" s="106">
        <v>0</v>
      </c>
      <c r="AD78" s="106">
        <v>1</v>
      </c>
      <c r="AE78" s="106">
        <v>0</v>
      </c>
      <c r="AF78" s="106">
        <v>0</v>
      </c>
      <c r="AG78" t="s">
        <v>73</v>
      </c>
      <c r="AH78" s="106">
        <v>1</v>
      </c>
      <c r="AI78" s="106">
        <v>0</v>
      </c>
      <c r="AJ78" s="106">
        <v>0</v>
      </c>
      <c r="AK78" s="106">
        <v>0</v>
      </c>
      <c r="AL78" s="106">
        <v>0</v>
      </c>
      <c r="AM78" s="106">
        <v>0</v>
      </c>
      <c r="AN78" s="106">
        <v>0</v>
      </c>
      <c r="AO78" s="106">
        <v>0</v>
      </c>
      <c r="AP78" s="106">
        <v>0</v>
      </c>
      <c r="AQ78" t="s">
        <v>73</v>
      </c>
      <c r="AR78" t="s">
        <v>227</v>
      </c>
      <c r="AS78" t="s">
        <v>432</v>
      </c>
      <c r="AT78" t="s">
        <v>229</v>
      </c>
      <c r="AU78" s="7">
        <v>0.64200000000000002</v>
      </c>
      <c r="AV78" s="7" t="s">
        <v>80</v>
      </c>
      <c r="AW78">
        <v>0.21199999999999999</v>
      </c>
      <c r="AX78" s="16">
        <v>2E-3</v>
      </c>
      <c r="AY78">
        <v>3</v>
      </c>
      <c r="AZ78" s="19">
        <f t="shared" si="36"/>
        <v>3.0973904269614785</v>
      </c>
      <c r="BA78" s="107">
        <f t="shared" si="33"/>
        <v>0.90027763655522586</v>
      </c>
      <c r="BB78" s="112">
        <f t="shared" si="24"/>
        <v>0.65520542330294296</v>
      </c>
      <c r="BC78" s="108" t="s">
        <v>73</v>
      </c>
      <c r="BD78" s="108" t="s">
        <v>73</v>
      </c>
      <c r="BE78" s="108" t="s">
        <v>73</v>
      </c>
      <c r="BF78" s="108" t="s">
        <v>73</v>
      </c>
      <c r="BG78" s="108" t="s">
        <v>73</v>
      </c>
      <c r="BH78" s="108" t="s">
        <v>73</v>
      </c>
      <c r="BI78" s="106">
        <v>1143</v>
      </c>
      <c r="BJ78">
        <f>BI78</f>
        <v>1143</v>
      </c>
      <c r="BK78" s="106" t="s">
        <v>73</v>
      </c>
      <c r="BL78" s="106" t="s">
        <v>73</v>
      </c>
      <c r="BM78" s="106" t="s">
        <v>73</v>
      </c>
      <c r="BN78" s="106" t="s">
        <v>73</v>
      </c>
      <c r="BO78" s="106" t="s">
        <v>73</v>
      </c>
      <c r="BP78" s="106" t="s">
        <v>73</v>
      </c>
      <c r="BQ78" s="106" t="s">
        <v>73</v>
      </c>
      <c r="BR78" s="106" t="s">
        <v>73</v>
      </c>
      <c r="BS78" s="106" t="s">
        <v>73</v>
      </c>
      <c r="BT78" s="106" t="s">
        <v>73</v>
      </c>
      <c r="BU78" s="106">
        <v>0</v>
      </c>
      <c r="BV78" s="106">
        <v>0</v>
      </c>
      <c r="BW78" s="106">
        <v>1</v>
      </c>
      <c r="BX78" s="30">
        <f t="shared" si="34"/>
        <v>9.1234229157469829E-2</v>
      </c>
      <c r="BY78" s="30">
        <f t="shared" si="30"/>
        <v>9.1488635914083044E-2</v>
      </c>
      <c r="BZ78" s="30">
        <f t="shared" si="31"/>
        <v>8.7559539426075063E-4</v>
      </c>
      <c r="CA78" s="30">
        <f t="shared" si="32"/>
        <v>8.7719298245614037E-4</v>
      </c>
      <c r="CB78" s="95" t="s">
        <v>73</v>
      </c>
      <c r="CC78">
        <f t="shared" si="35"/>
        <v>1141</v>
      </c>
      <c r="CD78" s="95" t="s">
        <v>73</v>
      </c>
    </row>
    <row r="79" spans="1:82" ht="16">
      <c r="A79" s="11" t="s">
        <v>216</v>
      </c>
      <c r="B79" s="11">
        <v>18</v>
      </c>
      <c r="C79" s="11">
        <v>1010</v>
      </c>
      <c r="D79" s="11">
        <v>103</v>
      </c>
      <c r="E79" s="11" t="s">
        <v>365</v>
      </c>
      <c r="F79" s="11">
        <v>2019</v>
      </c>
      <c r="G79" t="s">
        <v>366</v>
      </c>
      <c r="H79" s="10" t="s">
        <v>367</v>
      </c>
      <c r="I79" s="18">
        <v>2</v>
      </c>
      <c r="J79" s="10">
        <v>2018</v>
      </c>
      <c r="K79" s="11" t="s">
        <v>73</v>
      </c>
      <c r="L79" s="18">
        <v>23</v>
      </c>
      <c r="M79" s="18" t="s">
        <v>368</v>
      </c>
      <c r="N79" s="10" t="s">
        <v>268</v>
      </c>
      <c r="O79" s="18" t="s">
        <v>124</v>
      </c>
      <c r="P79" s="18" t="s">
        <v>235</v>
      </c>
      <c r="Q79" s="18" t="s">
        <v>236</v>
      </c>
      <c r="R79" s="18" t="s">
        <v>237</v>
      </c>
      <c r="S79" s="18">
        <v>0</v>
      </c>
      <c r="T79" t="s">
        <v>189</v>
      </c>
      <c r="U79" s="18">
        <v>0</v>
      </c>
      <c r="V79" s="192" t="s">
        <v>252</v>
      </c>
      <c r="W79" s="192" t="s">
        <v>252</v>
      </c>
      <c r="X79" s="193" t="s">
        <v>73</v>
      </c>
      <c r="Y79" s="18">
        <v>0</v>
      </c>
      <c r="Z79" s="18">
        <v>0</v>
      </c>
      <c r="AA79" s="18">
        <v>0</v>
      </c>
      <c r="AB79" s="18">
        <v>0</v>
      </c>
      <c r="AC79" s="18">
        <v>0</v>
      </c>
      <c r="AD79" s="18">
        <v>1</v>
      </c>
      <c r="AE79" s="11">
        <v>0</v>
      </c>
      <c r="AF79" s="11">
        <v>0</v>
      </c>
      <c r="AG79" s="18" t="s">
        <v>73</v>
      </c>
      <c r="AH79" s="18">
        <v>0</v>
      </c>
      <c r="AI79" s="18">
        <v>0</v>
      </c>
      <c r="AJ79" s="18">
        <v>0</v>
      </c>
      <c r="AK79" s="18">
        <v>0</v>
      </c>
      <c r="AL79" s="18">
        <v>0</v>
      </c>
      <c r="AM79" s="18">
        <v>0</v>
      </c>
      <c r="AN79" s="11">
        <v>1</v>
      </c>
      <c r="AO79" s="11">
        <v>0</v>
      </c>
      <c r="AP79" s="18">
        <v>0</v>
      </c>
      <c r="AQ79" s="18" t="s">
        <v>369</v>
      </c>
      <c r="AR79" t="s">
        <v>227</v>
      </c>
      <c r="AS79" s="10" t="s">
        <v>370</v>
      </c>
      <c r="AT79" s="11" t="s">
        <v>229</v>
      </c>
      <c r="AU79" s="138">
        <v>0.105</v>
      </c>
      <c r="AV79" s="148" t="s">
        <v>80</v>
      </c>
      <c r="AW79" t="s">
        <v>73</v>
      </c>
      <c r="AX79" s="18">
        <v>0.1</v>
      </c>
      <c r="AY79" s="18">
        <v>2</v>
      </c>
      <c r="AZ79" s="19">
        <f t="shared" si="36"/>
        <v>1.6540291281334114</v>
      </c>
      <c r="BA79" s="194">
        <v>4.2000000000000003E-2</v>
      </c>
      <c r="BB79" s="112">
        <f t="shared" si="24"/>
        <v>0.5262259093720687</v>
      </c>
      <c r="BC79" s="11" t="s">
        <v>73</v>
      </c>
      <c r="BD79" s="11" t="s">
        <v>73</v>
      </c>
      <c r="BE79" s="11" t="s">
        <v>73</v>
      </c>
      <c r="BF79" s="11" t="s">
        <v>73</v>
      </c>
      <c r="BG79" s="11" t="s">
        <v>73</v>
      </c>
      <c r="BH79" s="11" t="s">
        <v>73</v>
      </c>
      <c r="BI79" s="10">
        <v>169</v>
      </c>
      <c r="BJ79" s="10">
        <v>169</v>
      </c>
      <c r="BK79" s="11" t="s">
        <v>73</v>
      </c>
      <c r="BL79" s="11" t="s">
        <v>73</v>
      </c>
      <c r="BM79" s="11" t="s">
        <v>73</v>
      </c>
      <c r="BN79" s="11" t="s">
        <v>73</v>
      </c>
      <c r="BO79" s="11" t="s">
        <v>240</v>
      </c>
      <c r="BP79" s="11" t="s">
        <v>73</v>
      </c>
      <c r="BQ79" s="11" t="s">
        <v>73</v>
      </c>
      <c r="BR79" s="11" t="s">
        <v>73</v>
      </c>
      <c r="BS79" s="11" t="s">
        <v>73</v>
      </c>
      <c r="BT79" s="11" t="s">
        <v>73</v>
      </c>
      <c r="BU79" s="18">
        <v>0</v>
      </c>
      <c r="BV79" s="18">
        <v>0</v>
      </c>
      <c r="BW79" s="18">
        <v>1</v>
      </c>
      <c r="BX79" s="30">
        <f t="shared" si="34"/>
        <v>0.12621550782577576</v>
      </c>
      <c r="BY79" s="30">
        <f t="shared" si="30"/>
        <v>0.12689220699041071</v>
      </c>
      <c r="BZ79" s="30">
        <f t="shared" si="31"/>
        <v>5.9508377228610727E-3</v>
      </c>
      <c r="CA79" s="30">
        <f t="shared" si="32"/>
        <v>6.024096385542169E-3</v>
      </c>
      <c r="CB79" s="95" t="s">
        <v>73</v>
      </c>
      <c r="CC79">
        <f t="shared" si="35"/>
        <v>167</v>
      </c>
      <c r="CD79" s="95" t="s">
        <v>73</v>
      </c>
    </row>
    <row r="80" spans="1:82" s="131" customFormat="1" ht="16">
      <c r="A80" s="11" t="s">
        <v>216</v>
      </c>
      <c r="B80" s="11">
        <v>18</v>
      </c>
      <c r="C80" s="11">
        <v>1009</v>
      </c>
      <c r="D80" s="11">
        <v>103</v>
      </c>
      <c r="E80" s="11" t="s">
        <v>365</v>
      </c>
      <c r="F80" s="11">
        <v>2019</v>
      </c>
      <c r="G80" t="s">
        <v>366</v>
      </c>
      <c r="H80" s="10" t="s">
        <v>367</v>
      </c>
      <c r="I80" s="18">
        <v>2</v>
      </c>
      <c r="J80" s="10">
        <v>2018</v>
      </c>
      <c r="K80" s="11" t="s">
        <v>73</v>
      </c>
      <c r="L80" s="18">
        <v>23</v>
      </c>
      <c r="M80" s="18" t="s">
        <v>368</v>
      </c>
      <c r="N80" s="10" t="s">
        <v>268</v>
      </c>
      <c r="O80" s="18" t="s">
        <v>124</v>
      </c>
      <c r="P80" s="18" t="s">
        <v>235</v>
      </c>
      <c r="Q80" s="18" t="s">
        <v>236</v>
      </c>
      <c r="R80" s="18" t="s">
        <v>237</v>
      </c>
      <c r="S80" s="18">
        <v>0</v>
      </c>
      <c r="T80" s="11" t="s">
        <v>189</v>
      </c>
      <c r="U80" s="18">
        <v>0</v>
      </c>
      <c r="V80" s="192" t="s">
        <v>252</v>
      </c>
      <c r="W80" s="192" t="s">
        <v>252</v>
      </c>
      <c r="X80" s="193" t="s">
        <v>73</v>
      </c>
      <c r="Y80" s="18">
        <v>0</v>
      </c>
      <c r="Z80" s="18">
        <v>0</v>
      </c>
      <c r="AA80" s="18">
        <v>0</v>
      </c>
      <c r="AB80" s="18">
        <v>0</v>
      </c>
      <c r="AC80" s="18">
        <v>0</v>
      </c>
      <c r="AD80" s="18">
        <v>1</v>
      </c>
      <c r="AE80" s="11">
        <v>0</v>
      </c>
      <c r="AF80" s="11">
        <v>0</v>
      </c>
      <c r="AG80" s="18" t="s">
        <v>73</v>
      </c>
      <c r="AH80" s="18">
        <v>0</v>
      </c>
      <c r="AI80" s="18">
        <v>0</v>
      </c>
      <c r="AJ80" s="18">
        <v>0</v>
      </c>
      <c r="AK80" s="18">
        <v>0</v>
      </c>
      <c r="AL80" s="18">
        <v>0</v>
      </c>
      <c r="AM80" s="18">
        <v>0</v>
      </c>
      <c r="AN80" s="18">
        <v>0</v>
      </c>
      <c r="AO80" s="18">
        <v>1</v>
      </c>
      <c r="AP80" s="18">
        <v>0</v>
      </c>
      <c r="AQ80" s="18" t="s">
        <v>369</v>
      </c>
      <c r="AR80" t="s">
        <v>227</v>
      </c>
      <c r="AS80" s="10" t="s">
        <v>370</v>
      </c>
      <c r="AT80" s="11" t="s">
        <v>229</v>
      </c>
      <c r="AU80" s="147">
        <v>0.42199999999999999</v>
      </c>
      <c r="AV80" s="148" t="s">
        <v>80</v>
      </c>
      <c r="AW80" t="s">
        <v>73</v>
      </c>
      <c r="AX80" s="18">
        <v>0.01</v>
      </c>
      <c r="AY80" s="18">
        <v>1</v>
      </c>
      <c r="AZ80">
        <f t="shared" si="36"/>
        <v>2.6014087465590463</v>
      </c>
      <c r="BA80" s="194">
        <v>0.16600000000000001</v>
      </c>
      <c r="BB80" s="112">
        <f t="shared" si="24"/>
        <v>0.60396173310922441</v>
      </c>
      <c r="BC80" s="11" t="s">
        <v>73</v>
      </c>
      <c r="BD80" s="11" t="s">
        <v>73</v>
      </c>
      <c r="BE80" s="11" t="s">
        <v>73</v>
      </c>
      <c r="BF80" s="11" t="s">
        <v>73</v>
      </c>
      <c r="BG80" s="11" t="s">
        <v>73</v>
      </c>
      <c r="BH80" s="11" t="s">
        <v>73</v>
      </c>
      <c r="BI80" s="10">
        <v>196</v>
      </c>
      <c r="BJ80" s="10">
        <v>196</v>
      </c>
      <c r="BK80" s="11" t="s">
        <v>73</v>
      </c>
      <c r="BL80" s="11" t="s">
        <v>73</v>
      </c>
      <c r="BM80" s="11" t="s">
        <v>73</v>
      </c>
      <c r="BN80" s="11" t="s">
        <v>73</v>
      </c>
      <c r="BO80" s="11" t="s">
        <v>240</v>
      </c>
      <c r="BP80" s="11" t="s">
        <v>73</v>
      </c>
      <c r="BQ80" s="11" t="s">
        <v>73</v>
      </c>
      <c r="BR80" s="11" t="s">
        <v>73</v>
      </c>
      <c r="BS80" s="11" t="s">
        <v>73</v>
      </c>
      <c r="BT80" s="11" t="s">
        <v>73</v>
      </c>
      <c r="BU80" s="18">
        <v>0</v>
      </c>
      <c r="BV80" s="18">
        <v>0</v>
      </c>
      <c r="BW80" s="18">
        <v>1</v>
      </c>
      <c r="BX80" s="30">
        <f t="shared" si="34"/>
        <v>0.18268782595451913</v>
      </c>
      <c r="BY80" s="30">
        <f t="shared" si="30"/>
        <v>0.18476191295756308</v>
      </c>
      <c r="BZ80" s="30">
        <f t="shared" si="31"/>
        <v>5.1222290649031235E-3</v>
      </c>
      <c r="CA80" s="30">
        <f t="shared" si="32"/>
        <v>5.1813471502590676E-3</v>
      </c>
      <c r="CB80" s="95" t="s">
        <v>73</v>
      </c>
      <c r="CC80">
        <f t="shared" si="35"/>
        <v>194</v>
      </c>
      <c r="CD80" s="95" t="s">
        <v>73</v>
      </c>
    </row>
    <row r="81" spans="1:82" ht="16">
      <c r="A81" s="11" t="s">
        <v>216</v>
      </c>
      <c r="B81" s="11">
        <v>18</v>
      </c>
      <c r="C81" s="11">
        <v>1011</v>
      </c>
      <c r="D81" s="11">
        <v>103</v>
      </c>
      <c r="E81" s="11" t="s">
        <v>365</v>
      </c>
      <c r="F81" s="11">
        <v>2019</v>
      </c>
      <c r="G81" t="s">
        <v>366</v>
      </c>
      <c r="H81" s="10" t="s">
        <v>367</v>
      </c>
      <c r="I81" s="18">
        <v>2</v>
      </c>
      <c r="J81" s="10">
        <v>2018</v>
      </c>
      <c r="K81" s="11" t="s">
        <v>73</v>
      </c>
      <c r="L81" s="18">
        <v>23</v>
      </c>
      <c r="M81" s="18" t="s">
        <v>368</v>
      </c>
      <c r="N81" s="10" t="s">
        <v>268</v>
      </c>
      <c r="O81" s="18" t="s">
        <v>124</v>
      </c>
      <c r="P81" s="18" t="s">
        <v>235</v>
      </c>
      <c r="Q81" s="18" t="s">
        <v>236</v>
      </c>
      <c r="R81" s="18" t="s">
        <v>237</v>
      </c>
      <c r="S81" s="18">
        <v>0</v>
      </c>
      <c r="T81" t="s">
        <v>189</v>
      </c>
      <c r="U81" s="18">
        <v>0</v>
      </c>
      <c r="V81" s="192" t="s">
        <v>252</v>
      </c>
      <c r="W81" s="192" t="s">
        <v>252</v>
      </c>
      <c r="X81" s="193" t="s">
        <v>73</v>
      </c>
      <c r="Y81" s="18">
        <v>0</v>
      </c>
      <c r="Z81" s="18">
        <v>0</v>
      </c>
      <c r="AA81" s="18">
        <v>0</v>
      </c>
      <c r="AB81" s="11">
        <v>0</v>
      </c>
      <c r="AC81" s="18">
        <v>0</v>
      </c>
      <c r="AD81" s="18">
        <v>0</v>
      </c>
      <c r="AE81" s="18">
        <v>1</v>
      </c>
      <c r="AF81" s="11">
        <v>0</v>
      </c>
      <c r="AG81" s="18" t="s">
        <v>73</v>
      </c>
      <c r="AH81" s="18">
        <v>0</v>
      </c>
      <c r="AI81" s="18">
        <v>0</v>
      </c>
      <c r="AJ81" s="18">
        <v>0</v>
      </c>
      <c r="AK81" s="18">
        <v>0</v>
      </c>
      <c r="AL81" s="18">
        <v>0</v>
      </c>
      <c r="AM81" s="18">
        <v>0</v>
      </c>
      <c r="AN81" s="11">
        <v>0</v>
      </c>
      <c r="AO81" s="11">
        <v>1</v>
      </c>
      <c r="AP81" s="18">
        <v>0</v>
      </c>
      <c r="AQ81" s="18" t="s">
        <v>369</v>
      </c>
      <c r="AR81" t="s">
        <v>227</v>
      </c>
      <c r="AS81" s="10" t="s">
        <v>370</v>
      </c>
      <c r="AT81" s="11" t="s">
        <v>229</v>
      </c>
      <c r="AU81" s="138">
        <v>0.60199999999999998</v>
      </c>
      <c r="AV81" s="7" t="s">
        <v>86</v>
      </c>
      <c r="AW81" t="s">
        <v>73</v>
      </c>
      <c r="AX81" s="18">
        <v>0.05</v>
      </c>
      <c r="AY81" s="18">
        <v>1</v>
      </c>
      <c r="AZ81">
        <f t="shared" si="36"/>
        <v>1.9722675325821368</v>
      </c>
      <c r="BA81" s="194">
        <v>0.23599999999999999</v>
      </c>
      <c r="BB81" s="112">
        <f t="shared" si="24"/>
        <v>0.64611374129762467</v>
      </c>
      <c r="BC81" s="11" t="s">
        <v>73</v>
      </c>
      <c r="BD81" s="11" t="s">
        <v>73</v>
      </c>
      <c r="BE81" s="11" t="s">
        <v>73</v>
      </c>
      <c r="BF81" s="11" t="s">
        <v>73</v>
      </c>
      <c r="BG81" s="11" t="s">
        <v>73</v>
      </c>
      <c r="BH81" s="11" t="s">
        <v>73</v>
      </c>
      <c r="BI81" s="10">
        <v>196</v>
      </c>
      <c r="BJ81" s="10">
        <v>196</v>
      </c>
      <c r="BK81" s="11" t="s">
        <v>73</v>
      </c>
      <c r="BL81" s="11" t="s">
        <v>73</v>
      </c>
      <c r="BM81" s="11" t="s">
        <v>73</v>
      </c>
      <c r="BN81" s="11" t="s">
        <v>73</v>
      </c>
      <c r="BO81" s="11" t="s">
        <v>240</v>
      </c>
      <c r="BP81" s="11" t="s">
        <v>73</v>
      </c>
      <c r="BQ81" s="11" t="s">
        <v>73</v>
      </c>
      <c r="BR81" s="11" t="s">
        <v>73</v>
      </c>
      <c r="BS81" s="11" t="s">
        <v>73</v>
      </c>
      <c r="BT81" s="11" t="s">
        <v>73</v>
      </c>
      <c r="BU81" s="18">
        <v>0</v>
      </c>
      <c r="BV81" s="18">
        <v>0</v>
      </c>
      <c r="BW81" s="18">
        <v>1</v>
      </c>
      <c r="BX81" s="30">
        <f t="shared" si="34"/>
        <v>0.13949879819299352</v>
      </c>
      <c r="BY81" s="30">
        <f t="shared" si="30"/>
        <v>0.14041439085865218</v>
      </c>
      <c r="BZ81" s="30">
        <f t="shared" si="31"/>
        <v>5.126211648265694E-3</v>
      </c>
      <c r="CA81" s="30">
        <f t="shared" si="32"/>
        <v>5.1813471502590676E-3</v>
      </c>
      <c r="CB81" s="95" t="s">
        <v>73</v>
      </c>
      <c r="CC81">
        <f t="shared" si="35"/>
        <v>194</v>
      </c>
      <c r="CD81" s="95" t="s">
        <v>73</v>
      </c>
    </row>
    <row r="82" spans="1:82" ht="16">
      <c r="A82" s="11" t="s">
        <v>216</v>
      </c>
      <c r="B82" s="11">
        <v>18</v>
      </c>
      <c r="C82" s="11">
        <v>1008</v>
      </c>
      <c r="D82" s="11">
        <v>103</v>
      </c>
      <c r="E82" s="11" t="s">
        <v>365</v>
      </c>
      <c r="F82" s="11">
        <v>2019</v>
      </c>
      <c r="G82" t="s">
        <v>366</v>
      </c>
      <c r="H82" s="10" t="s">
        <v>367</v>
      </c>
      <c r="I82" s="18">
        <v>2</v>
      </c>
      <c r="J82" s="10">
        <v>2018</v>
      </c>
      <c r="K82" s="11" t="s">
        <v>73</v>
      </c>
      <c r="L82" s="18">
        <v>23</v>
      </c>
      <c r="M82" s="18" t="s">
        <v>368</v>
      </c>
      <c r="N82" s="10" t="s">
        <v>268</v>
      </c>
      <c r="O82" s="18" t="s">
        <v>124</v>
      </c>
      <c r="P82" s="18" t="s">
        <v>235</v>
      </c>
      <c r="Q82" s="18" t="s">
        <v>236</v>
      </c>
      <c r="R82" s="18" t="s">
        <v>237</v>
      </c>
      <c r="S82" s="18">
        <v>0</v>
      </c>
      <c r="T82" s="11" t="s">
        <v>189</v>
      </c>
      <c r="U82" s="18">
        <v>0</v>
      </c>
      <c r="V82" s="192" t="s">
        <v>252</v>
      </c>
      <c r="W82" s="192" t="s">
        <v>252</v>
      </c>
      <c r="X82" s="193" t="s">
        <v>73</v>
      </c>
      <c r="Y82" s="18">
        <v>1</v>
      </c>
      <c r="Z82" s="18">
        <v>0</v>
      </c>
      <c r="AA82" s="18">
        <v>0</v>
      </c>
      <c r="AB82" s="18">
        <v>0</v>
      </c>
      <c r="AC82" s="18">
        <v>0</v>
      </c>
      <c r="AD82" s="11">
        <v>0</v>
      </c>
      <c r="AE82" s="11">
        <v>0</v>
      </c>
      <c r="AF82" s="11">
        <v>0</v>
      </c>
      <c r="AG82" s="18" t="s">
        <v>73</v>
      </c>
      <c r="AH82" s="18">
        <v>0</v>
      </c>
      <c r="AI82" s="18">
        <v>0</v>
      </c>
      <c r="AJ82" s="18">
        <v>0</v>
      </c>
      <c r="AK82" s="18">
        <v>0</v>
      </c>
      <c r="AL82" s="18">
        <v>0</v>
      </c>
      <c r="AM82" s="18">
        <v>0</v>
      </c>
      <c r="AN82" s="18">
        <v>1</v>
      </c>
      <c r="AO82" s="18">
        <v>0</v>
      </c>
      <c r="AP82" s="18">
        <v>0</v>
      </c>
      <c r="AQ82" s="18" t="s">
        <v>369</v>
      </c>
      <c r="AR82" t="s">
        <v>227</v>
      </c>
      <c r="AS82" s="10" t="s">
        <v>370</v>
      </c>
      <c r="AT82" s="11" t="s">
        <v>229</v>
      </c>
      <c r="AU82" s="147">
        <v>0.65300000000000002</v>
      </c>
      <c r="AV82" s="148" t="s">
        <v>80</v>
      </c>
      <c r="AW82" t="s">
        <v>73</v>
      </c>
      <c r="AX82" s="18">
        <v>0.05</v>
      </c>
      <c r="AY82" s="18">
        <v>1</v>
      </c>
      <c r="AZ82">
        <f t="shared" si="36"/>
        <v>1.9742709570280526</v>
      </c>
      <c r="BA82" s="194">
        <v>0.25600000000000001</v>
      </c>
      <c r="BB82" s="112">
        <f t="shared" si="24"/>
        <v>0.6576861870231604</v>
      </c>
      <c r="BC82" s="11" t="s">
        <v>73</v>
      </c>
      <c r="BD82" s="11" t="s">
        <v>73</v>
      </c>
      <c r="BE82" s="11" t="s">
        <v>73</v>
      </c>
      <c r="BF82" s="11" t="s">
        <v>73</v>
      </c>
      <c r="BG82" s="11" t="s">
        <v>73</v>
      </c>
      <c r="BH82" s="11" t="s">
        <v>73</v>
      </c>
      <c r="BI82" s="10">
        <v>169</v>
      </c>
      <c r="BJ82" s="10">
        <v>169</v>
      </c>
      <c r="BK82" s="11" t="s">
        <v>73</v>
      </c>
      <c r="BL82" s="11" t="s">
        <v>73</v>
      </c>
      <c r="BM82" s="11" t="s">
        <v>73</v>
      </c>
      <c r="BN82" s="11" t="s">
        <v>73</v>
      </c>
      <c r="BO82" s="11" t="s">
        <v>73</v>
      </c>
      <c r="BP82" s="11" t="s">
        <v>73</v>
      </c>
      <c r="BQ82" s="11" t="s">
        <v>73</v>
      </c>
      <c r="BR82" s="11" t="s">
        <v>73</v>
      </c>
      <c r="BS82" s="11" t="s">
        <v>73</v>
      </c>
      <c r="BT82" s="11" t="s">
        <v>73</v>
      </c>
      <c r="BU82" s="18">
        <v>0</v>
      </c>
      <c r="BV82" s="18">
        <v>0</v>
      </c>
      <c r="BW82" s="18">
        <v>1</v>
      </c>
      <c r="BX82" s="30">
        <f t="shared" si="34"/>
        <v>0.15014542072566855</v>
      </c>
      <c r="BY82" s="30">
        <f t="shared" si="30"/>
        <v>0.15128920726322537</v>
      </c>
      <c r="BZ82" s="30">
        <f t="shared" si="31"/>
        <v>5.9492626192623162E-3</v>
      </c>
      <c r="CA82" s="30">
        <f t="shared" si="32"/>
        <v>6.024096385542169E-3</v>
      </c>
      <c r="CB82" s="95" t="s">
        <v>73</v>
      </c>
      <c r="CC82">
        <f t="shared" si="35"/>
        <v>167</v>
      </c>
      <c r="CD82" s="95" t="s">
        <v>73</v>
      </c>
    </row>
    <row r="83" spans="1:82" ht="16">
      <c r="A83" s="11" t="s">
        <v>216</v>
      </c>
      <c r="B83" s="11">
        <v>18</v>
      </c>
      <c r="C83" s="11">
        <v>1012</v>
      </c>
      <c r="D83" s="11">
        <v>103</v>
      </c>
      <c r="E83" s="11" t="s">
        <v>365</v>
      </c>
      <c r="F83" s="11">
        <v>2019</v>
      </c>
      <c r="G83" t="s">
        <v>366</v>
      </c>
      <c r="H83" s="10" t="s">
        <v>367</v>
      </c>
      <c r="I83" s="18">
        <v>2</v>
      </c>
      <c r="J83" s="10">
        <v>2018</v>
      </c>
      <c r="K83" s="11" t="s">
        <v>73</v>
      </c>
      <c r="L83" s="18">
        <v>23</v>
      </c>
      <c r="M83" s="18" t="s">
        <v>368</v>
      </c>
      <c r="N83" s="10" t="s">
        <v>268</v>
      </c>
      <c r="O83" s="18" t="s">
        <v>124</v>
      </c>
      <c r="P83" s="18" t="s">
        <v>235</v>
      </c>
      <c r="Q83" s="18" t="s">
        <v>236</v>
      </c>
      <c r="R83" s="18" t="s">
        <v>237</v>
      </c>
      <c r="S83" s="18">
        <v>0</v>
      </c>
      <c r="T83" t="s">
        <v>189</v>
      </c>
      <c r="U83" s="18">
        <v>0</v>
      </c>
      <c r="V83" s="192" t="s">
        <v>252</v>
      </c>
      <c r="W83" s="192" t="s">
        <v>252</v>
      </c>
      <c r="X83" s="193" t="s">
        <v>73</v>
      </c>
      <c r="Y83" s="18">
        <v>0</v>
      </c>
      <c r="Z83" s="18">
        <v>0</v>
      </c>
      <c r="AA83" s="18">
        <v>0</v>
      </c>
      <c r="AB83" s="18">
        <v>0</v>
      </c>
      <c r="AC83" s="18">
        <v>0</v>
      </c>
      <c r="AD83" s="18">
        <v>0</v>
      </c>
      <c r="AE83" s="18">
        <v>1</v>
      </c>
      <c r="AF83" s="11">
        <v>0</v>
      </c>
      <c r="AG83" s="18" t="s">
        <v>73</v>
      </c>
      <c r="AH83" s="18">
        <v>0</v>
      </c>
      <c r="AI83" s="18">
        <v>0</v>
      </c>
      <c r="AJ83" s="18">
        <v>0</v>
      </c>
      <c r="AK83" s="18">
        <v>0</v>
      </c>
      <c r="AL83" s="18">
        <v>0</v>
      </c>
      <c r="AM83" s="18">
        <v>0</v>
      </c>
      <c r="AN83" s="18">
        <v>1</v>
      </c>
      <c r="AO83" s="18">
        <v>0</v>
      </c>
      <c r="AP83" s="18">
        <v>0</v>
      </c>
      <c r="AQ83" s="18" t="s">
        <v>369</v>
      </c>
      <c r="AR83" t="s">
        <v>227</v>
      </c>
      <c r="AS83" s="10" t="s">
        <v>370</v>
      </c>
      <c r="AT83" s="11" t="s">
        <v>229</v>
      </c>
      <c r="AU83" s="138">
        <v>0.70499999999999996</v>
      </c>
      <c r="AV83" s="18" t="s">
        <v>80</v>
      </c>
      <c r="AW83" t="s">
        <v>73</v>
      </c>
      <c r="AX83" s="18">
        <v>0.1</v>
      </c>
      <c r="AY83" s="18">
        <v>1</v>
      </c>
      <c r="AZ83">
        <f t="shared" si="36"/>
        <v>1.6540291281334114</v>
      </c>
      <c r="BA83" s="194">
        <v>0.26200000000000001</v>
      </c>
      <c r="BB83" s="112">
        <f t="shared" si="24"/>
        <v>0.66929540277744604</v>
      </c>
      <c r="BC83" s="11" t="s">
        <v>73</v>
      </c>
      <c r="BD83" s="11" t="s">
        <v>73</v>
      </c>
      <c r="BE83" s="11" t="s">
        <v>73</v>
      </c>
      <c r="BF83" s="11" t="s">
        <v>73</v>
      </c>
      <c r="BG83" s="11" t="s">
        <v>73</v>
      </c>
      <c r="BH83" s="11" t="s">
        <v>73</v>
      </c>
      <c r="BI83" s="10">
        <v>169</v>
      </c>
      <c r="BJ83" s="10">
        <v>169</v>
      </c>
      <c r="BK83" s="11" t="s">
        <v>73</v>
      </c>
      <c r="BL83" s="11" t="s">
        <v>73</v>
      </c>
      <c r="BM83" s="11" t="s">
        <v>73</v>
      </c>
      <c r="BN83" s="11" t="s">
        <v>73</v>
      </c>
      <c r="BO83" s="11" t="s">
        <v>240</v>
      </c>
      <c r="BP83" s="11" t="s">
        <v>73</v>
      </c>
      <c r="BQ83" s="11" t="s">
        <v>73</v>
      </c>
      <c r="BR83" s="11" t="s">
        <v>73</v>
      </c>
      <c r="BS83" s="11" t="s">
        <v>73</v>
      </c>
      <c r="BT83" s="11" t="s">
        <v>73</v>
      </c>
      <c r="BU83" s="18">
        <v>0</v>
      </c>
      <c r="BV83" s="18">
        <v>0</v>
      </c>
      <c r="BW83" s="18">
        <v>1</v>
      </c>
      <c r="BX83" s="30">
        <f t="shared" si="34"/>
        <v>0.12621550782577576</v>
      </c>
      <c r="BY83" s="30">
        <f t="shared" si="30"/>
        <v>0.12689220699041071</v>
      </c>
      <c r="BZ83" s="30">
        <f t="shared" si="31"/>
        <v>5.9508377228610727E-3</v>
      </c>
      <c r="CA83" s="30">
        <f t="shared" si="32"/>
        <v>6.024096385542169E-3</v>
      </c>
      <c r="CB83" s="95" t="s">
        <v>73</v>
      </c>
      <c r="CC83">
        <f t="shared" si="35"/>
        <v>167</v>
      </c>
      <c r="CD83" s="95" t="s">
        <v>73</v>
      </c>
    </row>
    <row r="84" spans="1:82" ht="16">
      <c r="A84" s="11" t="s">
        <v>216</v>
      </c>
      <c r="B84" s="11">
        <v>18</v>
      </c>
      <c r="C84" s="11">
        <v>1007</v>
      </c>
      <c r="D84" s="11">
        <v>103</v>
      </c>
      <c r="E84" s="11" t="s">
        <v>365</v>
      </c>
      <c r="F84" s="11">
        <v>2019</v>
      </c>
      <c r="G84" t="s">
        <v>366</v>
      </c>
      <c r="H84" s="10" t="s">
        <v>367</v>
      </c>
      <c r="I84" s="18">
        <v>2</v>
      </c>
      <c r="J84" s="10">
        <v>2018</v>
      </c>
      <c r="K84" s="11" t="s">
        <v>73</v>
      </c>
      <c r="L84" s="18">
        <v>23</v>
      </c>
      <c r="M84" s="18" t="s">
        <v>368</v>
      </c>
      <c r="N84" s="10" t="s">
        <v>268</v>
      </c>
      <c r="O84" s="18" t="s">
        <v>124</v>
      </c>
      <c r="P84" s="18" t="s">
        <v>235</v>
      </c>
      <c r="Q84" s="18" t="s">
        <v>236</v>
      </c>
      <c r="R84" s="18" t="s">
        <v>237</v>
      </c>
      <c r="S84" s="18">
        <v>0</v>
      </c>
      <c r="T84" s="11" t="s">
        <v>189</v>
      </c>
      <c r="U84" s="18">
        <v>0</v>
      </c>
      <c r="V84" s="192" t="s">
        <v>252</v>
      </c>
      <c r="W84" s="192" t="s">
        <v>252</v>
      </c>
      <c r="X84" s="193" t="s">
        <v>73</v>
      </c>
      <c r="Y84" s="18">
        <v>1</v>
      </c>
      <c r="Z84" s="18">
        <v>0</v>
      </c>
      <c r="AA84" s="18">
        <v>0</v>
      </c>
      <c r="AB84" s="18">
        <v>0</v>
      </c>
      <c r="AC84" s="18">
        <v>0</v>
      </c>
      <c r="AD84" s="11">
        <v>0</v>
      </c>
      <c r="AE84" s="11">
        <v>0</v>
      </c>
      <c r="AF84" s="11">
        <v>0</v>
      </c>
      <c r="AG84" s="18" t="s">
        <v>73</v>
      </c>
      <c r="AH84" s="18">
        <v>0</v>
      </c>
      <c r="AI84" s="18">
        <v>0</v>
      </c>
      <c r="AJ84" s="18">
        <v>0</v>
      </c>
      <c r="AK84" s="18">
        <v>0</v>
      </c>
      <c r="AL84" s="18">
        <v>0</v>
      </c>
      <c r="AM84" s="18">
        <v>0</v>
      </c>
      <c r="AN84" s="18">
        <v>0</v>
      </c>
      <c r="AO84" s="18">
        <v>1</v>
      </c>
      <c r="AP84" s="18">
        <v>0</v>
      </c>
      <c r="AQ84" s="18" t="s">
        <v>369</v>
      </c>
      <c r="AR84" t="s">
        <v>227</v>
      </c>
      <c r="AS84" s="10" t="s">
        <v>463</v>
      </c>
      <c r="AT84" s="11" t="s">
        <v>229</v>
      </c>
      <c r="AU84" s="147">
        <v>0.80900000000000005</v>
      </c>
      <c r="AV84" s="148" t="s">
        <v>80</v>
      </c>
      <c r="AW84" t="s">
        <v>73</v>
      </c>
      <c r="AX84" s="18">
        <v>0.01</v>
      </c>
      <c r="AY84" s="18">
        <v>1</v>
      </c>
      <c r="AZ84">
        <f t="shared" si="36"/>
        <v>2.6014087465590463</v>
      </c>
      <c r="BA84" s="195">
        <v>0.31</v>
      </c>
      <c r="BB84" s="112">
        <f t="shared" si="24"/>
        <v>0.69189636943595911</v>
      </c>
      <c r="BC84" s="11" t="s">
        <v>73</v>
      </c>
      <c r="BD84" s="11" t="s">
        <v>73</v>
      </c>
      <c r="BE84" s="11" t="s">
        <v>73</v>
      </c>
      <c r="BF84" s="11" t="s">
        <v>73</v>
      </c>
      <c r="BG84" s="11" t="s">
        <v>73</v>
      </c>
      <c r="BH84" s="11" t="s">
        <v>73</v>
      </c>
      <c r="BI84" s="10">
        <v>196</v>
      </c>
      <c r="BJ84" s="10">
        <v>196</v>
      </c>
      <c r="BK84" s="11" t="s">
        <v>73</v>
      </c>
      <c r="BL84" s="11" t="s">
        <v>73</v>
      </c>
      <c r="BM84" s="11" t="s">
        <v>73</v>
      </c>
      <c r="BN84" s="11" t="s">
        <v>73</v>
      </c>
      <c r="BO84" s="11" t="s">
        <v>73</v>
      </c>
      <c r="BP84" s="11" t="s">
        <v>73</v>
      </c>
      <c r="BQ84" s="11" t="s">
        <v>73</v>
      </c>
      <c r="BR84" s="11" t="s">
        <v>73</v>
      </c>
      <c r="BS84" s="11" t="s">
        <v>73</v>
      </c>
      <c r="BT84" s="11" t="s">
        <v>73</v>
      </c>
      <c r="BU84" s="18">
        <v>0</v>
      </c>
      <c r="BV84" s="18">
        <v>0</v>
      </c>
      <c r="BW84" s="18">
        <v>1</v>
      </c>
      <c r="BX84" s="30">
        <f t="shared" si="34"/>
        <v>0.18268782595451913</v>
      </c>
      <c r="BY84" s="30">
        <f t="shared" si="30"/>
        <v>0.18476191295756308</v>
      </c>
      <c r="BZ84" s="30">
        <f t="shared" si="31"/>
        <v>5.1222290649031235E-3</v>
      </c>
      <c r="CA84" s="30">
        <f t="shared" si="32"/>
        <v>5.1813471502590676E-3</v>
      </c>
      <c r="CB84" s="95" t="s">
        <v>73</v>
      </c>
      <c r="CC84">
        <f t="shared" si="35"/>
        <v>194</v>
      </c>
      <c r="CD84" s="95" t="s">
        <v>73</v>
      </c>
    </row>
    <row r="85" spans="1:82" ht="16">
      <c r="A85" s="95" t="s">
        <v>68</v>
      </c>
      <c r="B85" s="95">
        <v>19</v>
      </c>
      <c r="C85" s="95">
        <v>1130</v>
      </c>
      <c r="D85" s="95">
        <v>128</v>
      </c>
      <c r="E85" s="95" t="s">
        <v>320</v>
      </c>
      <c r="F85" s="95">
        <v>2014</v>
      </c>
      <c r="G85" s="95" t="s">
        <v>321</v>
      </c>
      <c r="H85" s="150" t="s">
        <v>322</v>
      </c>
      <c r="I85" s="95">
        <v>2</v>
      </c>
      <c r="J85" s="95">
        <v>2014</v>
      </c>
      <c r="K85" s="95" t="s">
        <v>73</v>
      </c>
      <c r="L85" s="95">
        <v>133</v>
      </c>
      <c r="M85" s="95" t="s">
        <v>155</v>
      </c>
      <c r="N85" s="95" t="s">
        <v>259</v>
      </c>
      <c r="O85" s="95" t="s">
        <v>323</v>
      </c>
      <c r="P85" s="95" t="s">
        <v>269</v>
      </c>
      <c r="Q85" s="95" t="s">
        <v>275</v>
      </c>
      <c r="R85" t="s">
        <v>276</v>
      </c>
      <c r="S85" s="95">
        <v>1</v>
      </c>
      <c r="T85" s="95" t="s">
        <v>324</v>
      </c>
      <c r="U85" s="95">
        <v>1</v>
      </c>
      <c r="V85" s="95" t="s">
        <v>225</v>
      </c>
      <c r="W85" s="95" t="s">
        <v>225</v>
      </c>
      <c r="X85" s="95" t="s">
        <v>73</v>
      </c>
      <c r="Y85" s="95">
        <v>0</v>
      </c>
      <c r="Z85" s="95">
        <v>0</v>
      </c>
      <c r="AA85" s="95">
        <v>1</v>
      </c>
      <c r="AB85" s="95">
        <v>0</v>
      </c>
      <c r="AC85" s="95">
        <v>0</v>
      </c>
      <c r="AD85" s="95">
        <v>0</v>
      </c>
      <c r="AE85" s="95">
        <v>0</v>
      </c>
      <c r="AF85" s="95">
        <v>0</v>
      </c>
      <c r="AG85" s="95" t="s">
        <v>325</v>
      </c>
      <c r="AH85" s="95">
        <v>0</v>
      </c>
      <c r="AI85" s="95">
        <v>0</v>
      </c>
      <c r="AJ85" s="95">
        <v>0</v>
      </c>
      <c r="AK85" s="95">
        <v>0</v>
      </c>
      <c r="AL85" s="95">
        <v>0</v>
      </c>
      <c r="AM85" s="95">
        <v>0</v>
      </c>
      <c r="AN85" s="95">
        <v>0</v>
      </c>
      <c r="AO85" s="95">
        <v>0</v>
      </c>
      <c r="AP85" s="95">
        <v>1</v>
      </c>
      <c r="AQ85" s="95" t="s">
        <v>73</v>
      </c>
      <c r="AR85" s="95" t="s">
        <v>227</v>
      </c>
      <c r="AS85" t="s">
        <v>287</v>
      </c>
      <c r="AT85" s="95" t="s">
        <v>229</v>
      </c>
      <c r="AU85" s="196">
        <v>4.4999999999999998E-2</v>
      </c>
      <c r="AV85" s="197" t="s">
        <v>80</v>
      </c>
      <c r="AW85" s="150">
        <v>0.27100000000000002</v>
      </c>
      <c r="AX85" s="95" t="s">
        <v>73</v>
      </c>
      <c r="AY85" s="95">
        <v>3</v>
      </c>
      <c r="AZ85" s="150">
        <f t="shared" ref="AZ85:AZ96" si="37">AU85/AW85</f>
        <v>0.16605166051660514</v>
      </c>
      <c r="BA85" s="198">
        <f t="shared" ref="BA85:BA114" si="38">EXP(AU85)-1</f>
        <v>4.6027859908716939E-2</v>
      </c>
      <c r="BB85" s="112">
        <f t="shared" si="24"/>
        <v>0.51124810194685477</v>
      </c>
      <c r="BC85" s="95" t="s">
        <v>73</v>
      </c>
      <c r="BD85" s="95" t="s">
        <v>73</v>
      </c>
      <c r="BE85" s="95" t="s">
        <v>73</v>
      </c>
      <c r="BF85" s="95" t="s">
        <v>73</v>
      </c>
      <c r="BG85" s="95" t="s">
        <v>73</v>
      </c>
      <c r="BH85" s="95" t="s">
        <v>73</v>
      </c>
      <c r="BI85" s="150">
        <v>504</v>
      </c>
      <c r="BJ85" s="95">
        <v>504</v>
      </c>
      <c r="BK85" s="95" t="s">
        <v>73</v>
      </c>
      <c r="BL85" s="95" t="s">
        <v>73</v>
      </c>
      <c r="BM85" s="95" t="s">
        <v>73</v>
      </c>
      <c r="BN85" s="95" t="s">
        <v>73</v>
      </c>
      <c r="BO85" s="95" t="s">
        <v>73</v>
      </c>
      <c r="BP85" s="95">
        <v>0</v>
      </c>
      <c r="BQ85" s="95" t="s">
        <v>73</v>
      </c>
      <c r="BR85" s="95">
        <v>0</v>
      </c>
      <c r="BS85" s="95" t="s">
        <v>73</v>
      </c>
      <c r="BT85" s="95" t="s">
        <v>326</v>
      </c>
      <c r="BU85" s="95">
        <v>0</v>
      </c>
      <c r="BV85" s="95">
        <v>0</v>
      </c>
      <c r="BW85" s="95">
        <v>1</v>
      </c>
      <c r="BX85" s="30">
        <f t="shared" si="34"/>
        <v>7.3963265165038466E-3</v>
      </c>
      <c r="BY85" s="30">
        <f t="shared" si="30"/>
        <v>7.396461394537558E-3</v>
      </c>
      <c r="BZ85" s="30">
        <f t="shared" si="31"/>
        <v>1.9880715646263896E-3</v>
      </c>
      <c r="CA85" s="30">
        <f t="shared" si="32"/>
        <v>1.996007984031936E-3</v>
      </c>
      <c r="CB85" s="95" t="s">
        <v>73</v>
      </c>
      <c r="CC85">
        <f t="shared" si="35"/>
        <v>502</v>
      </c>
      <c r="CD85" s="95" t="s">
        <v>73</v>
      </c>
    </row>
    <row r="86" spans="1:82" ht="16">
      <c r="A86" s="95" t="s">
        <v>68</v>
      </c>
      <c r="B86" s="95">
        <v>19</v>
      </c>
      <c r="C86" s="95">
        <v>1131</v>
      </c>
      <c r="D86" s="95">
        <v>128</v>
      </c>
      <c r="E86" s="95" t="s">
        <v>320</v>
      </c>
      <c r="F86" s="95">
        <v>2014</v>
      </c>
      <c r="G86" s="95" t="s">
        <v>321</v>
      </c>
      <c r="H86" s="150" t="s">
        <v>322</v>
      </c>
      <c r="I86" s="95">
        <v>2</v>
      </c>
      <c r="J86" s="95">
        <v>2014</v>
      </c>
      <c r="K86" s="95" t="s">
        <v>73</v>
      </c>
      <c r="L86" s="95">
        <v>133</v>
      </c>
      <c r="M86" s="95" t="s">
        <v>155</v>
      </c>
      <c r="N86" s="95" t="s">
        <v>259</v>
      </c>
      <c r="O86" s="95" t="s">
        <v>323</v>
      </c>
      <c r="P86" s="95" t="s">
        <v>269</v>
      </c>
      <c r="Q86" s="95" t="s">
        <v>275</v>
      </c>
      <c r="R86" t="s">
        <v>276</v>
      </c>
      <c r="S86" s="95">
        <v>1</v>
      </c>
      <c r="T86" s="95" t="s">
        <v>324</v>
      </c>
      <c r="U86" s="95">
        <v>1</v>
      </c>
      <c r="V86" s="95" t="s">
        <v>225</v>
      </c>
      <c r="W86" s="95" t="s">
        <v>225</v>
      </c>
      <c r="X86" s="95" t="s">
        <v>73</v>
      </c>
      <c r="Y86" s="95">
        <v>0</v>
      </c>
      <c r="Z86" s="95">
        <v>0</v>
      </c>
      <c r="AA86" s="95">
        <v>1</v>
      </c>
      <c r="AB86" s="95">
        <v>0</v>
      </c>
      <c r="AC86" s="95">
        <v>0</v>
      </c>
      <c r="AD86" s="95">
        <v>0</v>
      </c>
      <c r="AE86" s="95">
        <v>0</v>
      </c>
      <c r="AF86" s="95">
        <v>0</v>
      </c>
      <c r="AG86" s="95" t="s">
        <v>325</v>
      </c>
      <c r="AH86" s="95">
        <v>1</v>
      </c>
      <c r="AI86" s="95">
        <v>0</v>
      </c>
      <c r="AJ86" s="95">
        <v>0</v>
      </c>
      <c r="AK86" s="95">
        <v>0</v>
      </c>
      <c r="AL86" s="95">
        <v>0</v>
      </c>
      <c r="AM86" s="95">
        <v>0</v>
      </c>
      <c r="AN86" s="95">
        <v>0</v>
      </c>
      <c r="AO86" s="95">
        <v>0</v>
      </c>
      <c r="AP86" s="95">
        <v>0</v>
      </c>
      <c r="AQ86" s="95" t="s">
        <v>73</v>
      </c>
      <c r="AR86" s="95" t="s">
        <v>227</v>
      </c>
      <c r="AS86" t="s">
        <v>287</v>
      </c>
      <c r="AT86" s="95" t="s">
        <v>229</v>
      </c>
      <c r="AU86" s="196">
        <v>0.184</v>
      </c>
      <c r="AV86" s="197" t="s">
        <v>80</v>
      </c>
      <c r="AW86" s="150">
        <v>0.26900000000000002</v>
      </c>
      <c r="AX86" s="95" t="s">
        <v>73</v>
      </c>
      <c r="AY86" s="95">
        <v>3</v>
      </c>
      <c r="AZ86" s="150">
        <f t="shared" si="37"/>
        <v>0.68401486988847582</v>
      </c>
      <c r="BA86" s="198">
        <f t="shared" si="38"/>
        <v>0.20201582309630139</v>
      </c>
      <c r="BB86" s="112">
        <f t="shared" si="24"/>
        <v>0.54587065655419365</v>
      </c>
      <c r="BC86" s="95" t="s">
        <v>73</v>
      </c>
      <c r="BD86" s="95" t="s">
        <v>73</v>
      </c>
      <c r="BE86" s="95" t="s">
        <v>73</v>
      </c>
      <c r="BF86" s="95" t="s">
        <v>73</v>
      </c>
      <c r="BG86" s="95" t="s">
        <v>73</v>
      </c>
      <c r="BH86" s="95" t="s">
        <v>73</v>
      </c>
      <c r="BI86" s="150">
        <v>504</v>
      </c>
      <c r="BJ86" s="95">
        <v>504</v>
      </c>
      <c r="BK86" s="95" t="s">
        <v>73</v>
      </c>
      <c r="BL86" s="95" t="s">
        <v>73</v>
      </c>
      <c r="BM86" s="95" t="s">
        <v>73</v>
      </c>
      <c r="BN86" s="95" t="s">
        <v>73</v>
      </c>
      <c r="BO86" s="95" t="s">
        <v>73</v>
      </c>
      <c r="BP86" s="95">
        <v>0</v>
      </c>
      <c r="BQ86" s="95" t="s">
        <v>73</v>
      </c>
      <c r="BR86" s="95">
        <v>0</v>
      </c>
      <c r="BS86" s="95" t="s">
        <v>73</v>
      </c>
      <c r="BT86" s="95" t="s">
        <v>387</v>
      </c>
      <c r="BU86" s="95">
        <v>0</v>
      </c>
      <c r="BV86" s="95">
        <v>0</v>
      </c>
      <c r="BW86" s="95">
        <v>1</v>
      </c>
      <c r="BX86" s="30">
        <f t="shared" si="34"/>
        <v>3.0454311448901306E-2</v>
      </c>
      <c r="BY86" s="30">
        <f t="shared" si="30"/>
        <v>3.0463731795209874E-2</v>
      </c>
      <c r="BZ86" s="30">
        <f t="shared" si="31"/>
        <v>1.988069858337372E-3</v>
      </c>
      <c r="CA86" s="30">
        <f t="shared" si="32"/>
        <v>1.996007984031936E-3</v>
      </c>
      <c r="CB86" s="95" t="s">
        <v>73</v>
      </c>
      <c r="CC86">
        <f t="shared" si="35"/>
        <v>502</v>
      </c>
      <c r="CD86" s="95" t="s">
        <v>73</v>
      </c>
    </row>
    <row r="87" spans="1:82" ht="16">
      <c r="A87" s="95" t="s">
        <v>68</v>
      </c>
      <c r="B87" s="95">
        <v>19</v>
      </c>
      <c r="C87" s="95">
        <v>1129</v>
      </c>
      <c r="D87" s="95">
        <v>128</v>
      </c>
      <c r="E87" s="95" t="s">
        <v>320</v>
      </c>
      <c r="F87" s="95">
        <v>2014</v>
      </c>
      <c r="G87" s="95" t="s">
        <v>321</v>
      </c>
      <c r="H87" s="150" t="s">
        <v>322</v>
      </c>
      <c r="I87" s="95">
        <v>2</v>
      </c>
      <c r="J87" s="95">
        <v>2014</v>
      </c>
      <c r="K87" s="95" t="s">
        <v>73</v>
      </c>
      <c r="L87" s="95">
        <v>133</v>
      </c>
      <c r="M87" s="95" t="s">
        <v>155</v>
      </c>
      <c r="N87" s="95" t="s">
        <v>259</v>
      </c>
      <c r="O87" s="95" t="s">
        <v>323</v>
      </c>
      <c r="P87" s="95" t="s">
        <v>269</v>
      </c>
      <c r="Q87" s="95" t="s">
        <v>275</v>
      </c>
      <c r="R87" t="s">
        <v>276</v>
      </c>
      <c r="S87" s="95">
        <v>1</v>
      </c>
      <c r="T87" s="95" t="s">
        <v>324</v>
      </c>
      <c r="U87" s="95">
        <v>1</v>
      </c>
      <c r="V87" s="95" t="s">
        <v>225</v>
      </c>
      <c r="W87" s="95" t="s">
        <v>225</v>
      </c>
      <c r="X87" s="95" t="s">
        <v>73</v>
      </c>
      <c r="Y87" s="95">
        <v>0</v>
      </c>
      <c r="Z87" s="95">
        <v>0</v>
      </c>
      <c r="AA87" s="95">
        <v>1</v>
      </c>
      <c r="AB87" s="95">
        <v>0</v>
      </c>
      <c r="AC87" s="95">
        <v>0</v>
      </c>
      <c r="AD87" s="95">
        <v>0</v>
      </c>
      <c r="AE87" s="95">
        <v>0</v>
      </c>
      <c r="AF87" s="95">
        <v>0</v>
      </c>
      <c r="AG87" s="95" t="s">
        <v>325</v>
      </c>
      <c r="AH87" s="95">
        <v>0</v>
      </c>
      <c r="AI87" s="95">
        <v>0</v>
      </c>
      <c r="AJ87" s="95">
        <v>0</v>
      </c>
      <c r="AK87" s="95">
        <v>0</v>
      </c>
      <c r="AL87" s="95">
        <v>0</v>
      </c>
      <c r="AM87" s="95">
        <v>0</v>
      </c>
      <c r="AN87" s="95">
        <v>0</v>
      </c>
      <c r="AO87" s="95">
        <v>0</v>
      </c>
      <c r="AP87" s="95">
        <v>1</v>
      </c>
      <c r="AQ87" s="95" t="s">
        <v>73</v>
      </c>
      <c r="AR87" s="95" t="s">
        <v>227</v>
      </c>
      <c r="AS87" s="95" t="s">
        <v>287</v>
      </c>
      <c r="AT87" s="95" t="s">
        <v>229</v>
      </c>
      <c r="AU87" s="196">
        <v>0.22800000000000001</v>
      </c>
      <c r="AV87" s="197" t="s">
        <v>80</v>
      </c>
      <c r="AW87" s="150">
        <v>0.26900000000000002</v>
      </c>
      <c r="AX87" s="95" t="s">
        <v>73</v>
      </c>
      <c r="AY87" s="95">
        <v>3</v>
      </c>
      <c r="AZ87" s="150">
        <f t="shared" si="37"/>
        <v>0.84758364312267653</v>
      </c>
      <c r="BA87" s="198">
        <f t="shared" si="38"/>
        <v>0.25608532543234408</v>
      </c>
      <c r="BB87" s="112">
        <f t="shared" si="24"/>
        <v>0.55675435289294073</v>
      </c>
      <c r="BC87" s="95" t="s">
        <v>73</v>
      </c>
      <c r="BD87" s="95" t="s">
        <v>73</v>
      </c>
      <c r="BE87" s="95" t="s">
        <v>73</v>
      </c>
      <c r="BF87" s="95" t="s">
        <v>73</v>
      </c>
      <c r="BG87" s="95" t="s">
        <v>73</v>
      </c>
      <c r="BH87" s="95" t="s">
        <v>73</v>
      </c>
      <c r="BI87" s="150">
        <v>504</v>
      </c>
      <c r="BJ87" s="95">
        <v>504</v>
      </c>
      <c r="BK87" s="95" t="s">
        <v>73</v>
      </c>
      <c r="BL87" s="95" t="s">
        <v>73</v>
      </c>
      <c r="BM87" s="95" t="s">
        <v>73</v>
      </c>
      <c r="BN87" s="95" t="s">
        <v>73</v>
      </c>
      <c r="BO87" s="95" t="s">
        <v>73</v>
      </c>
      <c r="BP87" s="95">
        <v>0</v>
      </c>
      <c r="BQ87" s="95" t="s">
        <v>73</v>
      </c>
      <c r="BR87" s="95">
        <v>0</v>
      </c>
      <c r="BS87" s="95" t="s">
        <v>73</v>
      </c>
      <c r="BT87" s="95" t="s">
        <v>377</v>
      </c>
      <c r="BU87" s="95">
        <v>0</v>
      </c>
      <c r="BV87" s="95">
        <v>0</v>
      </c>
      <c r="BW87" s="95">
        <v>1</v>
      </c>
      <c r="BX87" s="30">
        <f t="shared" si="34"/>
        <v>3.7727497501766814E-2</v>
      </c>
      <c r="BY87" s="30">
        <f t="shared" si="30"/>
        <v>3.7745412792349338E-2</v>
      </c>
      <c r="BZ87" s="30">
        <f t="shared" si="31"/>
        <v>1.9880675351566339E-3</v>
      </c>
      <c r="CA87" s="30">
        <f t="shared" si="32"/>
        <v>1.996007984031936E-3</v>
      </c>
      <c r="CB87" s="95" t="s">
        <v>73</v>
      </c>
      <c r="CC87">
        <f t="shared" si="35"/>
        <v>502</v>
      </c>
      <c r="CD87" s="95" t="s">
        <v>73</v>
      </c>
    </row>
    <row r="88" spans="1:82" ht="16">
      <c r="A88" s="95" t="s">
        <v>68</v>
      </c>
      <c r="B88" s="95">
        <v>19</v>
      </c>
      <c r="C88" s="95">
        <v>1132</v>
      </c>
      <c r="D88" s="95">
        <v>128</v>
      </c>
      <c r="E88" s="95" t="s">
        <v>320</v>
      </c>
      <c r="F88" s="95">
        <v>2014</v>
      </c>
      <c r="G88" s="95" t="s">
        <v>321</v>
      </c>
      <c r="H88" s="150" t="s">
        <v>322</v>
      </c>
      <c r="I88" s="95">
        <v>2</v>
      </c>
      <c r="J88" s="95">
        <v>2014</v>
      </c>
      <c r="K88" s="95" t="s">
        <v>73</v>
      </c>
      <c r="L88" s="95">
        <v>133</v>
      </c>
      <c r="M88" s="95" t="s">
        <v>155</v>
      </c>
      <c r="N88" s="95" t="s">
        <v>259</v>
      </c>
      <c r="O88" s="95" t="s">
        <v>323</v>
      </c>
      <c r="P88" s="95" t="s">
        <v>269</v>
      </c>
      <c r="Q88" s="95" t="s">
        <v>275</v>
      </c>
      <c r="R88" t="s">
        <v>276</v>
      </c>
      <c r="S88" s="95">
        <v>1</v>
      </c>
      <c r="T88" s="95" t="s">
        <v>324</v>
      </c>
      <c r="U88" s="95">
        <v>1</v>
      </c>
      <c r="V88" s="95" t="s">
        <v>225</v>
      </c>
      <c r="W88" s="95" t="s">
        <v>225</v>
      </c>
      <c r="X88" s="95" t="s">
        <v>73</v>
      </c>
      <c r="Y88" s="95">
        <v>0</v>
      </c>
      <c r="Z88" s="95">
        <v>0</v>
      </c>
      <c r="AA88" s="95">
        <v>1</v>
      </c>
      <c r="AB88" s="95">
        <v>0</v>
      </c>
      <c r="AC88" s="95">
        <v>0</v>
      </c>
      <c r="AD88" s="95">
        <v>0</v>
      </c>
      <c r="AE88" s="95">
        <v>0</v>
      </c>
      <c r="AF88" s="95">
        <v>0</v>
      </c>
      <c r="AG88" s="95" t="s">
        <v>325</v>
      </c>
      <c r="AH88" s="95">
        <v>1</v>
      </c>
      <c r="AI88" s="95">
        <v>0</v>
      </c>
      <c r="AJ88" s="95">
        <v>0</v>
      </c>
      <c r="AK88" s="95">
        <v>0</v>
      </c>
      <c r="AL88" s="95">
        <v>0</v>
      </c>
      <c r="AM88" s="95">
        <v>0</v>
      </c>
      <c r="AN88" s="95">
        <v>0</v>
      </c>
      <c r="AO88" s="95">
        <v>0</v>
      </c>
      <c r="AP88" s="95">
        <v>0</v>
      </c>
      <c r="AQ88" s="95" t="s">
        <v>73</v>
      </c>
      <c r="AR88" s="95" t="s">
        <v>227</v>
      </c>
      <c r="AS88" t="s">
        <v>287</v>
      </c>
      <c r="AT88" s="95" t="s">
        <v>229</v>
      </c>
      <c r="AU88" s="196">
        <v>0.26500000000000001</v>
      </c>
      <c r="AV88" s="197" t="s">
        <v>86</v>
      </c>
      <c r="AW88" s="150">
        <v>0.27300000000000002</v>
      </c>
      <c r="AX88" s="95" t="s">
        <v>73</v>
      </c>
      <c r="AY88" s="95">
        <v>3</v>
      </c>
      <c r="AZ88" s="150">
        <f t="shared" si="37"/>
        <v>0.97069597069597069</v>
      </c>
      <c r="BA88" s="198">
        <f t="shared" si="38"/>
        <v>0.30343097577836886</v>
      </c>
      <c r="BB88" s="112">
        <f t="shared" si="24"/>
        <v>0.56586500289548169</v>
      </c>
      <c r="BC88" s="95" t="s">
        <v>73</v>
      </c>
      <c r="BD88" s="95" t="s">
        <v>73</v>
      </c>
      <c r="BE88" s="95" t="s">
        <v>73</v>
      </c>
      <c r="BF88" s="95" t="s">
        <v>73</v>
      </c>
      <c r="BG88" s="95" t="s">
        <v>73</v>
      </c>
      <c r="BH88" s="95" t="s">
        <v>73</v>
      </c>
      <c r="BI88" s="150">
        <v>504</v>
      </c>
      <c r="BJ88" s="95">
        <v>504</v>
      </c>
      <c r="BK88" s="95" t="s">
        <v>73</v>
      </c>
      <c r="BL88" s="95" t="s">
        <v>73</v>
      </c>
      <c r="BM88" s="95" t="s">
        <v>73</v>
      </c>
      <c r="BN88" s="95" t="s">
        <v>73</v>
      </c>
      <c r="BO88" s="95" t="s">
        <v>73</v>
      </c>
      <c r="BP88" s="95">
        <v>0</v>
      </c>
      <c r="BQ88" s="95" t="s">
        <v>73</v>
      </c>
      <c r="BR88" s="95">
        <v>0</v>
      </c>
      <c r="BS88" s="95" t="s">
        <v>73</v>
      </c>
      <c r="BT88" s="95" t="s">
        <v>377</v>
      </c>
      <c r="BU88" s="95">
        <v>0</v>
      </c>
      <c r="BV88" s="95">
        <v>0</v>
      </c>
      <c r="BW88" s="95">
        <v>1</v>
      </c>
      <c r="BX88" s="30">
        <f t="shared" si="34"/>
        <v>4.3197873779519926E-2</v>
      </c>
      <c r="BY88" s="30">
        <f t="shared" si="30"/>
        <v>4.322477379226973E-2</v>
      </c>
      <c r="BZ88" s="30">
        <f t="shared" si="31"/>
        <v>1.9880646305212315E-3</v>
      </c>
      <c r="CA88" s="30">
        <f t="shared" si="32"/>
        <v>1.996007984031936E-3</v>
      </c>
      <c r="CB88" s="95" t="s">
        <v>73</v>
      </c>
      <c r="CC88">
        <f t="shared" si="35"/>
        <v>502</v>
      </c>
      <c r="CD88" s="95" t="s">
        <v>73</v>
      </c>
    </row>
    <row r="89" spans="1:82" ht="16">
      <c r="A89" s="95" t="s">
        <v>68</v>
      </c>
      <c r="B89" s="95">
        <v>19</v>
      </c>
      <c r="C89" s="95">
        <v>1133</v>
      </c>
      <c r="D89" s="95">
        <v>128</v>
      </c>
      <c r="E89" s="95" t="s">
        <v>320</v>
      </c>
      <c r="F89" s="95">
        <v>2014</v>
      </c>
      <c r="G89" s="95" t="s">
        <v>321</v>
      </c>
      <c r="H89" s="150" t="s">
        <v>322</v>
      </c>
      <c r="I89" s="95">
        <v>2</v>
      </c>
      <c r="J89" s="95">
        <v>2014</v>
      </c>
      <c r="K89" s="95" t="s">
        <v>73</v>
      </c>
      <c r="L89" s="95">
        <v>133</v>
      </c>
      <c r="M89" s="95" t="s">
        <v>155</v>
      </c>
      <c r="N89" s="95" t="s">
        <v>259</v>
      </c>
      <c r="O89" s="95" t="s">
        <v>323</v>
      </c>
      <c r="P89" s="95" t="s">
        <v>269</v>
      </c>
      <c r="Q89" s="95" t="s">
        <v>275</v>
      </c>
      <c r="R89" t="s">
        <v>276</v>
      </c>
      <c r="S89" s="95">
        <v>1</v>
      </c>
      <c r="T89" s="95" t="s">
        <v>324</v>
      </c>
      <c r="U89" s="95">
        <v>1</v>
      </c>
      <c r="V89" s="95" t="s">
        <v>225</v>
      </c>
      <c r="W89" s="95" t="s">
        <v>225</v>
      </c>
      <c r="X89" s="95" t="s">
        <v>73</v>
      </c>
      <c r="Y89" s="95">
        <v>0</v>
      </c>
      <c r="Z89" s="95">
        <v>0</v>
      </c>
      <c r="AA89" s="95">
        <v>1</v>
      </c>
      <c r="AB89" s="95">
        <v>0</v>
      </c>
      <c r="AC89" s="95">
        <v>0</v>
      </c>
      <c r="AD89" s="95">
        <v>0</v>
      </c>
      <c r="AE89" s="95">
        <v>0</v>
      </c>
      <c r="AF89" s="95">
        <v>0</v>
      </c>
      <c r="AG89" s="95" t="s">
        <v>325</v>
      </c>
      <c r="AH89" s="95">
        <v>1</v>
      </c>
      <c r="AI89" s="95">
        <v>0</v>
      </c>
      <c r="AJ89" s="95">
        <v>0</v>
      </c>
      <c r="AK89" s="95">
        <v>0</v>
      </c>
      <c r="AL89" s="95">
        <v>0</v>
      </c>
      <c r="AM89" s="95">
        <v>0</v>
      </c>
      <c r="AN89" s="95">
        <v>0</v>
      </c>
      <c r="AO89" s="95">
        <v>0</v>
      </c>
      <c r="AP89" s="95">
        <v>0</v>
      </c>
      <c r="AQ89" s="95" t="s">
        <v>73</v>
      </c>
      <c r="AR89" s="95" t="s">
        <v>227</v>
      </c>
      <c r="AS89" t="s">
        <v>287</v>
      </c>
      <c r="AT89" s="95" t="s">
        <v>229</v>
      </c>
      <c r="AU89" s="196">
        <v>0.34599999999999997</v>
      </c>
      <c r="AV89" s="197" t="s">
        <v>80</v>
      </c>
      <c r="AW89" s="150">
        <v>0.26800000000000002</v>
      </c>
      <c r="AX89" s="95" t="s">
        <v>73</v>
      </c>
      <c r="AY89" s="95">
        <v>3</v>
      </c>
      <c r="AZ89" s="150">
        <f t="shared" si="37"/>
        <v>1.2910447761194028</v>
      </c>
      <c r="BA89" s="198">
        <f t="shared" si="38"/>
        <v>0.41340261581767712</v>
      </c>
      <c r="BB89" s="112">
        <f t="shared" si="24"/>
        <v>0.58564725444237853</v>
      </c>
      <c r="BC89" s="95" t="s">
        <v>73</v>
      </c>
      <c r="BD89" s="95" t="s">
        <v>73</v>
      </c>
      <c r="BE89" s="95" t="s">
        <v>73</v>
      </c>
      <c r="BF89" s="95" t="s">
        <v>73</v>
      </c>
      <c r="BG89" s="95" t="s">
        <v>73</v>
      </c>
      <c r="BH89" s="95" t="s">
        <v>73</v>
      </c>
      <c r="BI89" s="150">
        <v>504</v>
      </c>
      <c r="BJ89" s="95">
        <v>504</v>
      </c>
      <c r="BK89" s="95" t="s">
        <v>73</v>
      </c>
      <c r="BL89" s="95" t="s">
        <v>73</v>
      </c>
      <c r="BM89" s="95" t="s">
        <v>73</v>
      </c>
      <c r="BN89" s="95" t="s">
        <v>73</v>
      </c>
      <c r="BO89" s="95" t="s">
        <v>73</v>
      </c>
      <c r="BP89" s="95">
        <v>0</v>
      </c>
      <c r="BQ89" s="95" t="s">
        <v>73</v>
      </c>
      <c r="BR89" s="95">
        <v>0</v>
      </c>
      <c r="BS89" s="95" t="s">
        <v>73</v>
      </c>
      <c r="BT89" s="95" t="s">
        <v>326</v>
      </c>
      <c r="BU89" s="95">
        <v>0</v>
      </c>
      <c r="BV89" s="95">
        <v>0</v>
      </c>
      <c r="BW89" s="95">
        <v>1</v>
      </c>
      <c r="BX89" s="30">
        <f t="shared" si="34"/>
        <v>5.7412847349308176E-2</v>
      </c>
      <c r="BY89" s="30">
        <f t="shared" si="30"/>
        <v>5.7476054483562668E-2</v>
      </c>
      <c r="BZ89" s="30">
        <f t="shared" si="31"/>
        <v>1.9880498745698505E-3</v>
      </c>
      <c r="CA89" s="30">
        <f t="shared" si="32"/>
        <v>1.996007984031936E-3</v>
      </c>
      <c r="CB89" s="95" t="s">
        <v>73</v>
      </c>
      <c r="CC89">
        <f t="shared" si="35"/>
        <v>502</v>
      </c>
      <c r="CD89" s="95" t="s">
        <v>73</v>
      </c>
    </row>
    <row r="90" spans="1:82" ht="16">
      <c r="A90" s="95" t="s">
        <v>68</v>
      </c>
      <c r="B90" s="95">
        <v>19</v>
      </c>
      <c r="C90" s="95">
        <v>1128</v>
      </c>
      <c r="D90" s="95">
        <v>128</v>
      </c>
      <c r="E90" s="95" t="s">
        <v>320</v>
      </c>
      <c r="F90" s="95">
        <v>2014</v>
      </c>
      <c r="G90" s="95" t="s">
        <v>321</v>
      </c>
      <c r="H90" s="150" t="s">
        <v>322</v>
      </c>
      <c r="I90" s="95">
        <v>2</v>
      </c>
      <c r="J90" s="95">
        <v>2014</v>
      </c>
      <c r="K90" s="95" t="s">
        <v>73</v>
      </c>
      <c r="L90" s="95">
        <v>133</v>
      </c>
      <c r="M90" s="95" t="s">
        <v>155</v>
      </c>
      <c r="N90" s="95" t="s">
        <v>259</v>
      </c>
      <c r="O90" s="95" t="s">
        <v>323</v>
      </c>
      <c r="P90" s="95" t="s">
        <v>269</v>
      </c>
      <c r="Q90" s="95" t="s">
        <v>275</v>
      </c>
      <c r="R90" t="s">
        <v>276</v>
      </c>
      <c r="S90" s="95">
        <v>1</v>
      </c>
      <c r="T90" s="95" t="s">
        <v>324</v>
      </c>
      <c r="U90" s="95">
        <v>1</v>
      </c>
      <c r="V90" s="95" t="s">
        <v>225</v>
      </c>
      <c r="W90" s="95" t="s">
        <v>225</v>
      </c>
      <c r="X90" s="95" t="s">
        <v>73</v>
      </c>
      <c r="Y90" s="95">
        <v>0</v>
      </c>
      <c r="Z90" s="95">
        <v>0</v>
      </c>
      <c r="AA90" s="95">
        <v>1</v>
      </c>
      <c r="AB90" s="95">
        <v>0</v>
      </c>
      <c r="AC90" s="95">
        <v>0</v>
      </c>
      <c r="AD90" s="95">
        <v>0</v>
      </c>
      <c r="AE90" s="95">
        <v>0</v>
      </c>
      <c r="AF90" s="95">
        <v>0</v>
      </c>
      <c r="AG90" s="95" t="s">
        <v>325</v>
      </c>
      <c r="AH90" s="95">
        <v>0</v>
      </c>
      <c r="AI90" s="95">
        <v>0</v>
      </c>
      <c r="AJ90" s="95">
        <v>0</v>
      </c>
      <c r="AK90" s="95">
        <v>0</v>
      </c>
      <c r="AL90" s="95">
        <v>0</v>
      </c>
      <c r="AM90" s="95">
        <v>0</v>
      </c>
      <c r="AN90" s="95">
        <v>0</v>
      </c>
      <c r="AO90" s="95">
        <v>0</v>
      </c>
      <c r="AP90" s="95">
        <v>1</v>
      </c>
      <c r="AQ90" s="95" t="s">
        <v>73</v>
      </c>
      <c r="AR90" s="95" t="s">
        <v>227</v>
      </c>
      <c r="AS90" s="95" t="s">
        <v>287</v>
      </c>
      <c r="AT90" s="95" t="s">
        <v>229</v>
      </c>
      <c r="AU90" s="196">
        <v>0.47499999999999998</v>
      </c>
      <c r="AV90" s="197" t="s">
        <v>80</v>
      </c>
      <c r="AW90" s="150">
        <v>0.26700000000000002</v>
      </c>
      <c r="AX90" s="95">
        <v>0.1</v>
      </c>
      <c r="AY90" s="95">
        <v>1</v>
      </c>
      <c r="AZ90" s="150">
        <f t="shared" si="37"/>
        <v>1.7790262172284643</v>
      </c>
      <c r="BA90" s="198">
        <f t="shared" si="38"/>
        <v>0.60801419748578289</v>
      </c>
      <c r="BB90" s="112">
        <f t="shared" si="24"/>
        <v>0.61656650452131923</v>
      </c>
      <c r="BC90" s="95" t="s">
        <v>73</v>
      </c>
      <c r="BD90" s="95" t="s">
        <v>73</v>
      </c>
      <c r="BE90" s="95" t="s">
        <v>73</v>
      </c>
      <c r="BF90" s="95" t="s">
        <v>73</v>
      </c>
      <c r="BG90" s="95" t="s">
        <v>73</v>
      </c>
      <c r="BH90" s="95" t="s">
        <v>73</v>
      </c>
      <c r="BI90" s="150">
        <v>504</v>
      </c>
      <c r="BJ90" s="95">
        <v>504</v>
      </c>
      <c r="BK90" s="95" t="s">
        <v>73</v>
      </c>
      <c r="BL90" s="95" t="s">
        <v>73</v>
      </c>
      <c r="BM90" s="95" t="s">
        <v>73</v>
      </c>
      <c r="BN90" s="95" t="s">
        <v>73</v>
      </c>
      <c r="BO90" s="95" t="s">
        <v>73</v>
      </c>
      <c r="BP90" s="95">
        <v>0</v>
      </c>
      <c r="BQ90" s="95" t="s">
        <v>73</v>
      </c>
      <c r="BR90" s="95">
        <v>0</v>
      </c>
      <c r="BS90" s="95" t="s">
        <v>73</v>
      </c>
      <c r="BT90" s="95" t="s">
        <v>387</v>
      </c>
      <c r="BU90" s="95">
        <v>0</v>
      </c>
      <c r="BV90" s="95">
        <v>0</v>
      </c>
      <c r="BW90" s="95">
        <v>1</v>
      </c>
      <c r="BX90" s="30">
        <f t="shared" si="34"/>
        <v>7.8996479816553555E-2</v>
      </c>
      <c r="BY90" s="30">
        <f t="shared" si="30"/>
        <v>7.9161422211521337E-2</v>
      </c>
      <c r="BZ90" s="30">
        <f t="shared" si="31"/>
        <v>1.9879935001832043E-3</v>
      </c>
      <c r="CA90" s="30">
        <f t="shared" si="32"/>
        <v>1.996007984031936E-3</v>
      </c>
      <c r="CB90" s="95" t="s">
        <v>73</v>
      </c>
      <c r="CC90">
        <f t="shared" si="35"/>
        <v>502</v>
      </c>
      <c r="CD90" s="95" t="s">
        <v>73</v>
      </c>
    </row>
    <row r="91" spans="1:82" s="95" customFormat="1" ht="16">
      <c r="A91" s="11" t="s">
        <v>68</v>
      </c>
      <c r="B91" s="11">
        <v>20</v>
      </c>
      <c r="C91" s="11">
        <v>1048</v>
      </c>
      <c r="D91" s="11">
        <v>108</v>
      </c>
      <c r="E91" t="s">
        <v>449</v>
      </c>
      <c r="F91" s="11">
        <v>2018</v>
      </c>
      <c r="G91" t="s">
        <v>450</v>
      </c>
      <c r="H91" t="s">
        <v>451</v>
      </c>
      <c r="I91" s="18">
        <v>2</v>
      </c>
      <c r="J91">
        <v>2014</v>
      </c>
      <c r="K91" s="10" t="s">
        <v>73</v>
      </c>
      <c r="L91" s="10">
        <v>566</v>
      </c>
      <c r="M91" t="s">
        <v>417</v>
      </c>
      <c r="N91" t="s">
        <v>268</v>
      </c>
      <c r="O91" t="s">
        <v>307</v>
      </c>
      <c r="P91" s="18" t="s">
        <v>235</v>
      </c>
      <c r="Q91" t="s">
        <v>236</v>
      </c>
      <c r="R91" t="s">
        <v>237</v>
      </c>
      <c r="S91">
        <v>1</v>
      </c>
      <c r="T91" t="s">
        <v>189</v>
      </c>
      <c r="U91">
        <v>0</v>
      </c>
      <c r="V91" s="18" t="s">
        <v>225</v>
      </c>
      <c r="W91" s="18" t="s">
        <v>225</v>
      </c>
      <c r="X91" s="18" t="s">
        <v>73</v>
      </c>
      <c r="Y91">
        <v>0</v>
      </c>
      <c r="Z91">
        <v>0</v>
      </c>
      <c r="AA91">
        <v>0</v>
      </c>
      <c r="AB91">
        <v>0</v>
      </c>
      <c r="AC91">
        <v>0</v>
      </c>
      <c r="AD91">
        <v>1</v>
      </c>
      <c r="AE91">
        <v>0</v>
      </c>
      <c r="AF91">
        <v>0</v>
      </c>
      <c r="AG91" t="s">
        <v>73</v>
      </c>
      <c r="AH91">
        <v>0</v>
      </c>
      <c r="AI91">
        <v>0</v>
      </c>
      <c r="AJ91">
        <v>0</v>
      </c>
      <c r="AK91">
        <v>0</v>
      </c>
      <c r="AL91">
        <v>0</v>
      </c>
      <c r="AM91">
        <v>0</v>
      </c>
      <c r="AN91">
        <v>1</v>
      </c>
      <c r="AO91">
        <v>0</v>
      </c>
      <c r="AP91">
        <v>0</v>
      </c>
      <c r="AQ91" t="s">
        <v>452</v>
      </c>
      <c r="AR91" s="95" t="s">
        <v>227</v>
      </c>
      <c r="AS91" s="95" t="s">
        <v>453</v>
      </c>
      <c r="AT91" s="11" t="s">
        <v>229</v>
      </c>
      <c r="AU91" s="138">
        <v>0.57299999999999995</v>
      </c>
      <c r="AV91" s="7" t="s">
        <v>86</v>
      </c>
      <c r="AW91">
        <v>0.29399999999999998</v>
      </c>
      <c r="AX91">
        <v>0.1</v>
      </c>
      <c r="AY91">
        <v>1</v>
      </c>
      <c r="AZ91">
        <f t="shared" si="37"/>
        <v>1.9489795918367347</v>
      </c>
      <c r="BA91" s="198">
        <f t="shared" si="38"/>
        <v>0.77357981775294093</v>
      </c>
      <c r="BB91" s="112">
        <f t="shared" si="24"/>
        <v>0.63945512092377221</v>
      </c>
      <c r="BC91" t="s">
        <v>73</v>
      </c>
      <c r="BD91" t="s">
        <v>73</v>
      </c>
      <c r="BE91" t="s">
        <v>73</v>
      </c>
      <c r="BF91" t="s">
        <v>73</v>
      </c>
      <c r="BG91" s="18">
        <v>36</v>
      </c>
      <c r="BH91" t="s">
        <v>73</v>
      </c>
      <c r="BI91" s="10">
        <v>3404</v>
      </c>
      <c r="BJ91" s="10">
        <v>3404</v>
      </c>
      <c r="BK91" t="s">
        <v>73</v>
      </c>
      <c r="BL91" t="s">
        <v>73</v>
      </c>
      <c r="BM91" t="s">
        <v>73</v>
      </c>
      <c r="BN91">
        <v>0.13</v>
      </c>
      <c r="BO91" t="s">
        <v>73</v>
      </c>
      <c r="BP91" t="s">
        <v>73</v>
      </c>
      <c r="BQ91" t="s">
        <v>73</v>
      </c>
      <c r="BR91" t="s">
        <v>73</v>
      </c>
      <c r="BS91" t="s">
        <v>73</v>
      </c>
      <c r="BT91" t="s">
        <v>73</v>
      </c>
      <c r="BU91" s="18">
        <v>1</v>
      </c>
      <c r="BV91" s="18">
        <v>1</v>
      </c>
      <c r="BW91" s="18">
        <v>1</v>
      </c>
      <c r="BX91" s="30">
        <f t="shared" si="34"/>
        <v>3.3386457206729767E-2</v>
      </c>
      <c r="BY91" s="30">
        <f t="shared" si="30"/>
        <v>3.339887030924775E-2</v>
      </c>
      <c r="BZ91" s="30">
        <f t="shared" si="31"/>
        <v>2.9385799462070103E-4</v>
      </c>
      <c r="CA91" s="30">
        <f t="shared" si="32"/>
        <v>2.9403116730373417E-4</v>
      </c>
      <c r="CB91" s="95" t="s">
        <v>73</v>
      </c>
      <c r="CC91">
        <f t="shared" si="35"/>
        <v>3402</v>
      </c>
      <c r="CD91" s="95" t="s">
        <v>73</v>
      </c>
    </row>
    <row r="92" spans="1:82" s="95" customFormat="1" ht="16">
      <c r="A92" s="11" t="s">
        <v>68</v>
      </c>
      <c r="B92" s="11">
        <v>20</v>
      </c>
      <c r="C92" s="11">
        <v>1051</v>
      </c>
      <c r="D92" s="11">
        <v>108</v>
      </c>
      <c r="E92" t="s">
        <v>449</v>
      </c>
      <c r="F92" s="11">
        <v>2018</v>
      </c>
      <c r="G92" t="s">
        <v>450</v>
      </c>
      <c r="H92" t="s">
        <v>451</v>
      </c>
      <c r="I92" s="18">
        <v>2</v>
      </c>
      <c r="J92">
        <v>2014</v>
      </c>
      <c r="K92" s="10" t="s">
        <v>73</v>
      </c>
      <c r="L92" s="10">
        <v>567</v>
      </c>
      <c r="M92" t="s">
        <v>291</v>
      </c>
      <c r="N92" t="s">
        <v>268</v>
      </c>
      <c r="O92" t="s">
        <v>307</v>
      </c>
      <c r="P92" s="18" t="s">
        <v>235</v>
      </c>
      <c r="Q92" t="s">
        <v>236</v>
      </c>
      <c r="R92" t="s">
        <v>237</v>
      </c>
      <c r="S92">
        <v>1</v>
      </c>
      <c r="T92" t="s">
        <v>189</v>
      </c>
      <c r="U92">
        <v>0</v>
      </c>
      <c r="V92" s="18" t="s">
        <v>225</v>
      </c>
      <c r="W92" s="18" t="s">
        <v>225</v>
      </c>
      <c r="X92" s="18" t="s">
        <v>73</v>
      </c>
      <c r="Y92">
        <v>0</v>
      </c>
      <c r="Z92">
        <v>0</v>
      </c>
      <c r="AA92">
        <v>0</v>
      </c>
      <c r="AB92">
        <v>0</v>
      </c>
      <c r="AC92">
        <v>0</v>
      </c>
      <c r="AD92">
        <v>1</v>
      </c>
      <c r="AE92">
        <v>0</v>
      </c>
      <c r="AF92">
        <v>0</v>
      </c>
      <c r="AG92" t="s">
        <v>73</v>
      </c>
      <c r="AH92">
        <v>0</v>
      </c>
      <c r="AI92">
        <v>0</v>
      </c>
      <c r="AJ92">
        <v>0</v>
      </c>
      <c r="AK92">
        <v>0</v>
      </c>
      <c r="AL92">
        <v>0</v>
      </c>
      <c r="AM92">
        <v>0</v>
      </c>
      <c r="AN92">
        <v>1</v>
      </c>
      <c r="AO92">
        <v>0</v>
      </c>
      <c r="AP92">
        <v>0</v>
      </c>
      <c r="AQ92" t="s">
        <v>452</v>
      </c>
      <c r="AR92" s="95" t="s">
        <v>227</v>
      </c>
      <c r="AS92" s="95" t="s">
        <v>453</v>
      </c>
      <c r="AT92" s="11" t="s">
        <v>229</v>
      </c>
      <c r="AU92" s="138">
        <v>0.77300000000000002</v>
      </c>
      <c r="AV92" s="7" t="s">
        <v>86</v>
      </c>
      <c r="AW92">
        <v>0.65300000000000002</v>
      </c>
      <c r="AX92">
        <v>0.1</v>
      </c>
      <c r="AY92">
        <v>2</v>
      </c>
      <c r="AZ92">
        <f t="shared" si="37"/>
        <v>1.1837672281776417</v>
      </c>
      <c r="BA92" s="198">
        <f t="shared" si="38"/>
        <v>1.1662552812206535</v>
      </c>
      <c r="BB92" s="112">
        <f t="shared" ref="BB92:BB114" si="39">EXP(AU92)/(1+EXP(AU92))</f>
        <v>0.68416949639812985</v>
      </c>
      <c r="BC92" t="s">
        <v>73</v>
      </c>
      <c r="BD92" t="s">
        <v>73</v>
      </c>
      <c r="BE92" t="s">
        <v>73</v>
      </c>
      <c r="BF92" t="s">
        <v>73</v>
      </c>
      <c r="BG92" t="s">
        <v>73</v>
      </c>
      <c r="BH92" t="s">
        <v>73</v>
      </c>
      <c r="BI92" s="10">
        <v>3404</v>
      </c>
      <c r="BJ92" s="10">
        <v>3404</v>
      </c>
      <c r="BK92" t="s">
        <v>73</v>
      </c>
      <c r="BL92" t="s">
        <v>73</v>
      </c>
      <c r="BM92" t="s">
        <v>73</v>
      </c>
      <c r="BN92">
        <v>0.13</v>
      </c>
      <c r="BO92" t="s">
        <v>73</v>
      </c>
      <c r="BP92" t="s">
        <v>73</v>
      </c>
      <c r="BQ92" t="s">
        <v>73</v>
      </c>
      <c r="BR92" t="s">
        <v>73</v>
      </c>
      <c r="BS92" t="s">
        <v>73</v>
      </c>
      <c r="BT92" t="s">
        <v>73</v>
      </c>
      <c r="BU92" s="18">
        <v>1</v>
      </c>
      <c r="BV92" s="18">
        <v>1</v>
      </c>
      <c r="BW92" s="18">
        <v>1</v>
      </c>
      <c r="BX92" s="30">
        <f t="shared" si="34"/>
        <v>2.0285334036980945E-2</v>
      </c>
      <c r="BY92" s="30">
        <f t="shared" si="30"/>
        <v>2.0288117160492912E-2</v>
      </c>
      <c r="BZ92" s="30">
        <f t="shared" si="31"/>
        <v>2.9385831048460269E-4</v>
      </c>
      <c r="CA92" s="30">
        <f t="shared" si="32"/>
        <v>2.9403116730373417E-4</v>
      </c>
      <c r="CB92" s="95" t="s">
        <v>73</v>
      </c>
      <c r="CC92">
        <f t="shared" si="35"/>
        <v>3402</v>
      </c>
      <c r="CD92" s="95" t="s">
        <v>73</v>
      </c>
    </row>
    <row r="93" spans="1:82" s="95" customFormat="1" ht="16">
      <c r="A93" s="11" t="s">
        <v>68</v>
      </c>
      <c r="B93" s="11">
        <v>20</v>
      </c>
      <c r="C93" s="11">
        <v>1049</v>
      </c>
      <c r="D93" s="11">
        <v>108</v>
      </c>
      <c r="E93" t="s">
        <v>449</v>
      </c>
      <c r="F93" s="11">
        <v>2018</v>
      </c>
      <c r="G93" t="s">
        <v>450</v>
      </c>
      <c r="H93" t="s">
        <v>451</v>
      </c>
      <c r="I93" s="18">
        <v>2</v>
      </c>
      <c r="J93">
        <v>2014</v>
      </c>
      <c r="K93" s="10" t="s">
        <v>73</v>
      </c>
      <c r="L93" s="10">
        <v>566</v>
      </c>
      <c r="M93" t="s">
        <v>417</v>
      </c>
      <c r="N93" t="s">
        <v>268</v>
      </c>
      <c r="O93" t="s">
        <v>307</v>
      </c>
      <c r="P93" s="18" t="s">
        <v>235</v>
      </c>
      <c r="Q93" t="s">
        <v>236</v>
      </c>
      <c r="R93" t="s">
        <v>237</v>
      </c>
      <c r="S93">
        <v>1</v>
      </c>
      <c r="T93" t="s">
        <v>189</v>
      </c>
      <c r="U93">
        <v>0</v>
      </c>
      <c r="V93" s="18" t="s">
        <v>225</v>
      </c>
      <c r="W93" s="18" t="s">
        <v>225</v>
      </c>
      <c r="X93" s="18" t="s">
        <v>73</v>
      </c>
      <c r="Y93">
        <v>0</v>
      </c>
      <c r="Z93">
        <v>0</v>
      </c>
      <c r="AA93">
        <v>0</v>
      </c>
      <c r="AB93">
        <v>0</v>
      </c>
      <c r="AC93">
        <v>0</v>
      </c>
      <c r="AD93">
        <v>1</v>
      </c>
      <c r="AE93">
        <v>0</v>
      </c>
      <c r="AF93">
        <v>0</v>
      </c>
      <c r="AG93" t="s">
        <v>73</v>
      </c>
      <c r="AH93">
        <v>0</v>
      </c>
      <c r="AI93">
        <v>0</v>
      </c>
      <c r="AJ93">
        <v>0</v>
      </c>
      <c r="AK93">
        <v>0</v>
      </c>
      <c r="AL93">
        <v>0</v>
      </c>
      <c r="AM93">
        <v>0</v>
      </c>
      <c r="AN93">
        <v>1</v>
      </c>
      <c r="AO93">
        <v>0</v>
      </c>
      <c r="AP93">
        <v>0</v>
      </c>
      <c r="AQ93" t="s">
        <v>452</v>
      </c>
      <c r="AR93" s="95" t="s">
        <v>227</v>
      </c>
      <c r="AS93" s="95" t="s">
        <v>453</v>
      </c>
      <c r="AT93" s="11" t="s">
        <v>229</v>
      </c>
      <c r="AU93" s="138">
        <v>1.0780000000000001</v>
      </c>
      <c r="AV93" s="7" t="s">
        <v>80</v>
      </c>
      <c r="AW93">
        <v>0.55600000000000005</v>
      </c>
      <c r="AX93">
        <v>0.1</v>
      </c>
      <c r="AY93">
        <v>1</v>
      </c>
      <c r="AZ93">
        <f t="shared" si="37"/>
        <v>1.9388489208633093</v>
      </c>
      <c r="BA93" s="198">
        <f t="shared" si="38"/>
        <v>1.938796077398218</v>
      </c>
      <c r="BB93" s="112">
        <f t="shared" si="39"/>
        <v>0.7461153153527682</v>
      </c>
      <c r="BC93" t="s">
        <v>73</v>
      </c>
      <c r="BD93" t="s">
        <v>73</v>
      </c>
      <c r="BE93" t="s">
        <v>73</v>
      </c>
      <c r="BF93" t="s">
        <v>73</v>
      </c>
      <c r="BG93" t="s">
        <v>73</v>
      </c>
      <c r="BH93" t="s">
        <v>73</v>
      </c>
      <c r="BI93" s="10">
        <v>3404</v>
      </c>
      <c r="BJ93" s="10">
        <v>3404</v>
      </c>
      <c r="BK93" t="s">
        <v>73</v>
      </c>
      <c r="BL93" t="s">
        <v>73</v>
      </c>
      <c r="BM93" t="s">
        <v>73</v>
      </c>
      <c r="BN93">
        <v>0.13</v>
      </c>
      <c r="BO93" t="s">
        <v>73</v>
      </c>
      <c r="BP93" t="s">
        <v>73</v>
      </c>
      <c r="BQ93" t="s">
        <v>73</v>
      </c>
      <c r="BR93" t="s">
        <v>73</v>
      </c>
      <c r="BS93" t="s">
        <v>73</v>
      </c>
      <c r="BT93" t="s">
        <v>73</v>
      </c>
      <c r="BU93" s="18">
        <v>1</v>
      </c>
      <c r="BV93" s="18">
        <v>1</v>
      </c>
      <c r="BW93" s="18">
        <v>1</v>
      </c>
      <c r="BX93" s="30">
        <f t="shared" si="34"/>
        <v>3.3213108476623197E-2</v>
      </c>
      <c r="BY93" s="30">
        <f t="shared" si="30"/>
        <v>3.3225329143150836E-2</v>
      </c>
      <c r="BZ93" s="30">
        <f t="shared" si="31"/>
        <v>2.9385800216136389E-4</v>
      </c>
      <c r="CA93" s="30">
        <f t="shared" si="32"/>
        <v>2.9403116730373417E-4</v>
      </c>
      <c r="CB93" s="95" t="s">
        <v>73</v>
      </c>
      <c r="CC93">
        <f t="shared" si="35"/>
        <v>3402</v>
      </c>
      <c r="CD93" s="95" t="s">
        <v>73</v>
      </c>
    </row>
    <row r="94" spans="1:82" s="131" customFormat="1" ht="16">
      <c r="A94" s="11" t="s">
        <v>68</v>
      </c>
      <c r="B94" s="11">
        <v>20</v>
      </c>
      <c r="C94" s="11">
        <v>1052</v>
      </c>
      <c r="D94" s="11">
        <v>108</v>
      </c>
      <c r="E94" t="s">
        <v>449</v>
      </c>
      <c r="F94" s="11">
        <v>2018</v>
      </c>
      <c r="G94" t="s">
        <v>450</v>
      </c>
      <c r="H94" t="s">
        <v>451</v>
      </c>
      <c r="I94" s="18">
        <v>2</v>
      </c>
      <c r="J94">
        <v>2014</v>
      </c>
      <c r="K94" s="10" t="s">
        <v>73</v>
      </c>
      <c r="L94" s="10">
        <v>567</v>
      </c>
      <c r="M94" t="s">
        <v>291</v>
      </c>
      <c r="N94" t="s">
        <v>268</v>
      </c>
      <c r="O94" t="s">
        <v>307</v>
      </c>
      <c r="P94" s="18" t="s">
        <v>235</v>
      </c>
      <c r="Q94" t="s">
        <v>236</v>
      </c>
      <c r="R94" t="s">
        <v>237</v>
      </c>
      <c r="S94">
        <v>1</v>
      </c>
      <c r="T94" t="s">
        <v>189</v>
      </c>
      <c r="U94">
        <v>0</v>
      </c>
      <c r="V94" s="18" t="s">
        <v>225</v>
      </c>
      <c r="W94" s="18" t="s">
        <v>225</v>
      </c>
      <c r="X94" s="18" t="s">
        <v>73</v>
      </c>
      <c r="Y94">
        <v>0</v>
      </c>
      <c r="Z94">
        <v>0</v>
      </c>
      <c r="AA94">
        <v>0</v>
      </c>
      <c r="AB94">
        <v>0</v>
      </c>
      <c r="AC94">
        <v>0</v>
      </c>
      <c r="AD94">
        <v>1</v>
      </c>
      <c r="AE94">
        <v>0</v>
      </c>
      <c r="AF94">
        <v>0</v>
      </c>
      <c r="AG94" t="s">
        <v>73</v>
      </c>
      <c r="AH94">
        <v>0</v>
      </c>
      <c r="AI94">
        <v>0</v>
      </c>
      <c r="AJ94">
        <v>0</v>
      </c>
      <c r="AK94">
        <v>0</v>
      </c>
      <c r="AL94">
        <v>0</v>
      </c>
      <c r="AM94">
        <v>0</v>
      </c>
      <c r="AN94">
        <v>1</v>
      </c>
      <c r="AO94">
        <v>0</v>
      </c>
      <c r="AP94">
        <v>0</v>
      </c>
      <c r="AQ94" t="s">
        <v>504</v>
      </c>
      <c r="AR94" s="95" t="s">
        <v>227</v>
      </c>
      <c r="AS94" s="95" t="s">
        <v>453</v>
      </c>
      <c r="AT94" s="11" t="s">
        <v>229</v>
      </c>
      <c r="AU94" s="54">
        <v>1.107</v>
      </c>
      <c r="AV94" s="7" t="s">
        <v>80</v>
      </c>
      <c r="AW94">
        <v>0.83799999999999997</v>
      </c>
      <c r="AX94">
        <v>0.1</v>
      </c>
      <c r="AY94">
        <v>2</v>
      </c>
      <c r="AZ94">
        <f t="shared" si="37"/>
        <v>1.3210023866348448</v>
      </c>
      <c r="BA94" s="198">
        <f t="shared" si="38"/>
        <v>2.0252689602207656</v>
      </c>
      <c r="BB94" s="112">
        <f t="shared" si="39"/>
        <v>0.75156939576401494</v>
      </c>
      <c r="BC94" t="s">
        <v>73</v>
      </c>
      <c r="BD94" t="s">
        <v>73</v>
      </c>
      <c r="BE94" t="s">
        <v>73</v>
      </c>
      <c r="BF94" t="s">
        <v>73</v>
      </c>
      <c r="BG94" t="s">
        <v>73</v>
      </c>
      <c r="BH94" t="s">
        <v>73</v>
      </c>
      <c r="BI94" s="10">
        <v>3404</v>
      </c>
      <c r="BJ94" s="10">
        <v>3404</v>
      </c>
      <c r="BK94" t="s">
        <v>73</v>
      </c>
      <c r="BL94" t="s">
        <v>73</v>
      </c>
      <c r="BM94" t="s">
        <v>73</v>
      </c>
      <c r="BN94">
        <v>0.13</v>
      </c>
      <c r="BO94" t="s">
        <v>73</v>
      </c>
      <c r="BP94" t="s">
        <v>73</v>
      </c>
      <c r="BQ94" t="s">
        <v>73</v>
      </c>
      <c r="BR94" t="s">
        <v>73</v>
      </c>
      <c r="BS94" t="s">
        <v>73</v>
      </c>
      <c r="BT94" t="s">
        <v>73</v>
      </c>
      <c r="BU94" s="18">
        <v>1</v>
      </c>
      <c r="BV94" s="18">
        <v>1</v>
      </c>
      <c r="BW94" s="18">
        <v>1</v>
      </c>
      <c r="BX94" s="30">
        <f t="shared" si="34"/>
        <v>2.263588794559478E-2</v>
      </c>
      <c r="BY94" s="30">
        <f t="shared" si="30"/>
        <v>2.2639755219163907E-2</v>
      </c>
      <c r="BZ94" s="30">
        <f t="shared" si="31"/>
        <v>2.9385828306898831E-4</v>
      </c>
      <c r="CA94" s="30">
        <f t="shared" si="32"/>
        <v>2.9403116730373417E-4</v>
      </c>
      <c r="CB94" s="95" t="s">
        <v>73</v>
      </c>
      <c r="CC94">
        <f t="shared" si="35"/>
        <v>3402</v>
      </c>
      <c r="CD94" s="95" t="s">
        <v>73</v>
      </c>
    </row>
    <row r="95" spans="1:82" s="131" customFormat="1" ht="16">
      <c r="A95" s="11" t="s">
        <v>68</v>
      </c>
      <c r="B95" s="11">
        <v>20</v>
      </c>
      <c r="C95" s="11">
        <v>1047</v>
      </c>
      <c r="D95" s="11">
        <v>108</v>
      </c>
      <c r="E95" t="s">
        <v>449</v>
      </c>
      <c r="F95" s="11">
        <v>2018</v>
      </c>
      <c r="G95" t="s">
        <v>450</v>
      </c>
      <c r="H95" t="s">
        <v>451</v>
      </c>
      <c r="I95" s="18">
        <v>2</v>
      </c>
      <c r="J95">
        <v>2014</v>
      </c>
      <c r="K95" s="10" t="s">
        <v>73</v>
      </c>
      <c r="L95" s="10">
        <v>566</v>
      </c>
      <c r="M95" t="s">
        <v>417</v>
      </c>
      <c r="N95" t="s">
        <v>268</v>
      </c>
      <c r="O95" t="s">
        <v>307</v>
      </c>
      <c r="P95" s="18" t="s">
        <v>235</v>
      </c>
      <c r="Q95" t="s">
        <v>236</v>
      </c>
      <c r="R95" t="s">
        <v>237</v>
      </c>
      <c r="S95">
        <v>1</v>
      </c>
      <c r="T95" t="s">
        <v>189</v>
      </c>
      <c r="U95">
        <v>0</v>
      </c>
      <c r="V95" s="18" t="s">
        <v>225</v>
      </c>
      <c r="W95" s="18" t="s">
        <v>225</v>
      </c>
      <c r="X95" s="18" t="s">
        <v>73</v>
      </c>
      <c r="Y95">
        <v>0</v>
      </c>
      <c r="Z95">
        <v>0</v>
      </c>
      <c r="AA95">
        <v>0</v>
      </c>
      <c r="AB95">
        <v>0</v>
      </c>
      <c r="AC95">
        <v>0</v>
      </c>
      <c r="AD95">
        <v>1</v>
      </c>
      <c r="AE95">
        <v>0</v>
      </c>
      <c r="AF95">
        <v>0</v>
      </c>
      <c r="AG95" t="s">
        <v>73</v>
      </c>
      <c r="AH95">
        <v>0</v>
      </c>
      <c r="AI95">
        <v>0</v>
      </c>
      <c r="AJ95">
        <v>0</v>
      </c>
      <c r="AK95">
        <v>0</v>
      </c>
      <c r="AL95">
        <v>0</v>
      </c>
      <c r="AM95">
        <v>0</v>
      </c>
      <c r="AN95">
        <v>1</v>
      </c>
      <c r="AO95">
        <v>0</v>
      </c>
      <c r="AP95">
        <v>0</v>
      </c>
      <c r="AQ95" t="s">
        <v>511</v>
      </c>
      <c r="AR95" s="95" t="s">
        <v>227</v>
      </c>
      <c r="AS95" s="95" t="s">
        <v>453</v>
      </c>
      <c r="AT95" s="11" t="s">
        <v>229</v>
      </c>
      <c r="AU95" s="54">
        <v>1.651</v>
      </c>
      <c r="AV95" s="7" t="s">
        <v>86</v>
      </c>
      <c r="AW95">
        <v>0.58599999999999997</v>
      </c>
      <c r="AX95">
        <v>0.01</v>
      </c>
      <c r="AY95">
        <v>1</v>
      </c>
      <c r="AZ95">
        <f t="shared" si="37"/>
        <v>2.81740614334471</v>
      </c>
      <c r="BA95" s="198">
        <f t="shared" si="38"/>
        <v>4.2121894113649896</v>
      </c>
      <c r="BB95" s="112">
        <f t="shared" si="39"/>
        <v>0.83902615748152587</v>
      </c>
      <c r="BC95" t="s">
        <v>73</v>
      </c>
      <c r="BD95" t="s">
        <v>73</v>
      </c>
      <c r="BE95" t="s">
        <v>73</v>
      </c>
      <c r="BF95" t="s">
        <v>73</v>
      </c>
      <c r="BG95" s="18">
        <v>36</v>
      </c>
      <c r="BH95" t="s">
        <v>73</v>
      </c>
      <c r="BI95" s="10">
        <v>3404</v>
      </c>
      <c r="BJ95" s="10">
        <v>3404</v>
      </c>
      <c r="BK95" t="s">
        <v>73</v>
      </c>
      <c r="BL95" t="s">
        <v>73</v>
      </c>
      <c r="BM95" t="s">
        <v>73</v>
      </c>
      <c r="BN95">
        <v>0.13</v>
      </c>
      <c r="BO95" t="s">
        <v>73</v>
      </c>
      <c r="BP95" t="s">
        <v>73</v>
      </c>
      <c r="BQ95" t="s">
        <v>73</v>
      </c>
      <c r="BR95" t="s">
        <v>73</v>
      </c>
      <c r="BS95" t="s">
        <v>73</v>
      </c>
      <c r="BT95" t="s">
        <v>73</v>
      </c>
      <c r="BU95" s="18">
        <v>1</v>
      </c>
      <c r="BV95" s="18">
        <v>1</v>
      </c>
      <c r="BW95" s="18">
        <v>1</v>
      </c>
      <c r="BX95" s="30">
        <f t="shared" si="34"/>
        <v>4.823351432140318E-2</v>
      </c>
      <c r="BY95" s="30">
        <f t="shared" si="30"/>
        <v>4.8270971259459908E-2</v>
      </c>
      <c r="BZ95" s="30">
        <f t="shared" si="31"/>
        <v>2.9385676482401629E-4</v>
      </c>
      <c r="CA95" s="30">
        <f t="shared" si="32"/>
        <v>2.9403116730373417E-4</v>
      </c>
      <c r="CB95" s="95" t="s">
        <v>73</v>
      </c>
      <c r="CC95">
        <f t="shared" si="35"/>
        <v>3402</v>
      </c>
      <c r="CD95" s="95" t="s">
        <v>73</v>
      </c>
    </row>
    <row r="96" spans="1:82" ht="16">
      <c r="A96" s="11" t="s">
        <v>68</v>
      </c>
      <c r="B96" s="11">
        <v>20</v>
      </c>
      <c r="C96" s="11">
        <v>1050</v>
      </c>
      <c r="D96" s="11">
        <v>108</v>
      </c>
      <c r="E96" t="s">
        <v>449</v>
      </c>
      <c r="F96" s="11">
        <v>2018</v>
      </c>
      <c r="G96" t="s">
        <v>450</v>
      </c>
      <c r="H96" t="s">
        <v>451</v>
      </c>
      <c r="I96" s="18">
        <v>2</v>
      </c>
      <c r="J96">
        <v>2014</v>
      </c>
      <c r="K96" s="10" t="s">
        <v>73</v>
      </c>
      <c r="L96" s="10">
        <v>567</v>
      </c>
      <c r="M96" t="s">
        <v>291</v>
      </c>
      <c r="N96" t="s">
        <v>268</v>
      </c>
      <c r="O96" t="s">
        <v>307</v>
      </c>
      <c r="P96" s="18" t="s">
        <v>235</v>
      </c>
      <c r="Q96" t="s">
        <v>236</v>
      </c>
      <c r="R96" t="s">
        <v>237</v>
      </c>
      <c r="S96">
        <v>1</v>
      </c>
      <c r="T96" t="s">
        <v>189</v>
      </c>
      <c r="U96">
        <v>0</v>
      </c>
      <c r="V96" s="18" t="s">
        <v>225</v>
      </c>
      <c r="W96" s="18" t="s">
        <v>225</v>
      </c>
      <c r="X96" s="18" t="s">
        <v>73</v>
      </c>
      <c r="Y96">
        <v>0</v>
      </c>
      <c r="Z96">
        <v>0</v>
      </c>
      <c r="AA96">
        <v>0</v>
      </c>
      <c r="AB96">
        <v>0</v>
      </c>
      <c r="AC96">
        <v>0</v>
      </c>
      <c r="AD96">
        <v>1</v>
      </c>
      <c r="AE96">
        <v>0</v>
      </c>
      <c r="AF96">
        <v>0</v>
      </c>
      <c r="AG96" t="s">
        <v>73</v>
      </c>
      <c r="AH96">
        <v>0</v>
      </c>
      <c r="AI96">
        <v>0</v>
      </c>
      <c r="AJ96">
        <v>0</v>
      </c>
      <c r="AK96">
        <v>0</v>
      </c>
      <c r="AL96">
        <v>0</v>
      </c>
      <c r="AM96">
        <v>0</v>
      </c>
      <c r="AN96">
        <v>1</v>
      </c>
      <c r="AO96">
        <v>0</v>
      </c>
      <c r="AP96">
        <v>0</v>
      </c>
      <c r="AQ96" t="s">
        <v>511</v>
      </c>
      <c r="AR96" s="95" t="s">
        <v>227</v>
      </c>
      <c r="AS96" s="95" t="s">
        <v>453</v>
      </c>
      <c r="AT96" s="11" t="s">
        <v>229</v>
      </c>
      <c r="AU96" s="54">
        <v>1.881</v>
      </c>
      <c r="AV96" s="7" t="s">
        <v>86</v>
      </c>
      <c r="AW96">
        <v>1.145</v>
      </c>
      <c r="AX96">
        <v>0.1</v>
      </c>
      <c r="AY96">
        <v>2</v>
      </c>
      <c r="AZ96">
        <f t="shared" si="37"/>
        <v>1.6427947598253274</v>
      </c>
      <c r="BA96" s="198">
        <f t="shared" si="38"/>
        <v>5.5600616448982949</v>
      </c>
      <c r="BB96" s="112">
        <f t="shared" si="39"/>
        <v>0.86772594629901956</v>
      </c>
      <c r="BC96" t="s">
        <v>73</v>
      </c>
      <c r="BD96" t="s">
        <v>73</v>
      </c>
      <c r="BE96" t="s">
        <v>73</v>
      </c>
      <c r="BF96" t="s">
        <v>73</v>
      </c>
      <c r="BG96" t="s">
        <v>73</v>
      </c>
      <c r="BH96" t="s">
        <v>73</v>
      </c>
      <c r="BI96" s="10">
        <v>3404</v>
      </c>
      <c r="BJ96" s="10">
        <v>3404</v>
      </c>
      <c r="BK96" t="s">
        <v>73</v>
      </c>
      <c r="BL96" t="s">
        <v>73</v>
      </c>
      <c r="BM96" t="s">
        <v>73</v>
      </c>
      <c r="BN96">
        <v>0.13</v>
      </c>
      <c r="BO96" t="s">
        <v>73</v>
      </c>
      <c r="BP96" t="s">
        <v>73</v>
      </c>
      <c r="BQ96" t="s">
        <v>73</v>
      </c>
      <c r="BR96" t="s">
        <v>73</v>
      </c>
      <c r="BS96" t="s">
        <v>73</v>
      </c>
      <c r="BT96" t="s">
        <v>73</v>
      </c>
      <c r="BU96" s="18">
        <v>1</v>
      </c>
      <c r="BV96" s="18">
        <v>1</v>
      </c>
      <c r="BW96" s="18">
        <v>1</v>
      </c>
      <c r="BX96" s="30">
        <f t="shared" si="34"/>
        <v>2.8145984341816754E-2</v>
      </c>
      <c r="BY96" s="30">
        <f t="shared" si="30"/>
        <v>2.8153420259375738E-2</v>
      </c>
      <c r="BZ96" s="30">
        <f t="shared" si="31"/>
        <v>2.9385817565716929E-4</v>
      </c>
      <c r="CA96" s="30">
        <f t="shared" si="32"/>
        <v>2.9403116730373417E-4</v>
      </c>
      <c r="CB96" s="95" t="s">
        <v>73</v>
      </c>
      <c r="CC96">
        <f t="shared" si="35"/>
        <v>3402</v>
      </c>
      <c r="CD96" s="95" t="s">
        <v>73</v>
      </c>
    </row>
    <row r="97" spans="1:82" ht="16">
      <c r="A97" s="115" t="s">
        <v>327</v>
      </c>
      <c r="B97" s="115">
        <v>21</v>
      </c>
      <c r="C97" s="95">
        <v>1270</v>
      </c>
      <c r="D97" s="115">
        <v>313</v>
      </c>
      <c r="E97" t="s">
        <v>347</v>
      </c>
      <c r="F97">
        <v>2018</v>
      </c>
      <c r="G97" t="s">
        <v>348</v>
      </c>
      <c r="H97" t="s">
        <v>349</v>
      </c>
      <c r="I97" s="10">
        <v>2</v>
      </c>
      <c r="J97">
        <v>2015</v>
      </c>
      <c r="K97" t="s">
        <v>350</v>
      </c>
      <c r="L97">
        <v>13</v>
      </c>
      <c r="M97" t="s">
        <v>351</v>
      </c>
      <c r="N97" t="s">
        <v>352</v>
      </c>
      <c r="O97" t="s">
        <v>353</v>
      </c>
      <c r="P97" s="10" t="s">
        <v>269</v>
      </c>
      <c r="Q97" t="s">
        <v>236</v>
      </c>
      <c r="R97" t="s">
        <v>243</v>
      </c>
      <c r="S97">
        <v>1</v>
      </c>
      <c r="T97" t="s">
        <v>324</v>
      </c>
      <c r="U97">
        <v>0</v>
      </c>
      <c r="V97" t="s">
        <v>252</v>
      </c>
      <c r="W97" t="s">
        <v>225</v>
      </c>
      <c r="X97" t="s">
        <v>354</v>
      </c>
      <c r="Y97" s="10">
        <v>0</v>
      </c>
      <c r="Z97" s="10">
        <v>1</v>
      </c>
      <c r="AA97" s="10">
        <v>0</v>
      </c>
      <c r="AB97" s="10">
        <v>0</v>
      </c>
      <c r="AC97" s="10">
        <v>0</v>
      </c>
      <c r="AD97" s="10">
        <v>0</v>
      </c>
      <c r="AE97" s="115">
        <v>0</v>
      </c>
      <c r="AF97" s="10">
        <v>0</v>
      </c>
      <c r="AG97" s="10" t="s">
        <v>355</v>
      </c>
      <c r="AH97" s="10">
        <v>0</v>
      </c>
      <c r="AI97" s="10">
        <v>0</v>
      </c>
      <c r="AJ97" s="10">
        <v>0</v>
      </c>
      <c r="AK97" s="10">
        <v>0</v>
      </c>
      <c r="AL97" s="10">
        <v>0</v>
      </c>
      <c r="AM97" s="10">
        <v>1</v>
      </c>
      <c r="AN97" s="10">
        <v>0</v>
      </c>
      <c r="AO97" s="10">
        <v>0</v>
      </c>
      <c r="AP97" s="10">
        <v>0</v>
      </c>
      <c r="AQ97" t="s">
        <v>356</v>
      </c>
      <c r="AR97" t="s">
        <v>227</v>
      </c>
      <c r="AS97" t="s">
        <v>357</v>
      </c>
      <c r="AT97" s="115" t="s">
        <v>229</v>
      </c>
      <c r="AU97" s="7">
        <v>0.09</v>
      </c>
      <c r="AV97" s="7" t="s">
        <v>80</v>
      </c>
      <c r="AW97">
        <v>0.12</v>
      </c>
      <c r="AX97">
        <v>0.05</v>
      </c>
      <c r="AY97">
        <v>2</v>
      </c>
      <c r="AZ97">
        <f>TINV(0.1,CC97)</f>
        <v>1.6474057119344734</v>
      </c>
      <c r="BA97" s="199">
        <f t="shared" si="38"/>
        <v>9.4174283705210415E-2</v>
      </c>
      <c r="BB97" s="99">
        <f t="shared" si="39"/>
        <v>0.52248482479180014</v>
      </c>
      <c r="BC97" s="10" t="s">
        <v>73</v>
      </c>
      <c r="BD97" s="10" t="s">
        <v>73</v>
      </c>
      <c r="BE97" s="10" t="s">
        <v>73</v>
      </c>
      <c r="BF97" s="10" t="s">
        <v>73</v>
      </c>
      <c r="BG97" s="10" t="s">
        <v>73</v>
      </c>
      <c r="BH97" s="10" t="s">
        <v>73</v>
      </c>
      <c r="BI97">
        <v>600</v>
      </c>
      <c r="BJ97">
        <v>600</v>
      </c>
      <c r="BK97" s="10" t="s">
        <v>73</v>
      </c>
      <c r="BL97" s="10" t="s">
        <v>73</v>
      </c>
      <c r="BM97" t="s">
        <v>73</v>
      </c>
      <c r="BN97" t="s">
        <v>73</v>
      </c>
      <c r="BO97" s="115" t="s">
        <v>73</v>
      </c>
      <c r="BP97" s="10" t="s">
        <v>73</v>
      </c>
      <c r="BQ97" s="115" t="s">
        <v>73</v>
      </c>
      <c r="BR97" s="115" t="s">
        <v>73</v>
      </c>
      <c r="BS97" s="115" t="s">
        <v>73</v>
      </c>
      <c r="BT97" s="115" t="s">
        <v>73</v>
      </c>
      <c r="BU97">
        <v>0</v>
      </c>
      <c r="BV97">
        <v>1</v>
      </c>
      <c r="BW97">
        <v>1</v>
      </c>
      <c r="BX97" s="30">
        <f t="shared" si="34"/>
        <v>6.7103465160314887E-2</v>
      </c>
      <c r="BY97" s="30">
        <f t="shared" si="30"/>
        <v>6.7204457661064573E-2</v>
      </c>
      <c r="BZ97" s="30">
        <f t="shared" si="31"/>
        <v>1.6694150280093312E-3</v>
      </c>
      <c r="CA97" s="30">
        <f t="shared" si="32"/>
        <v>1.6750418760469012E-3</v>
      </c>
      <c r="CB97" s="95" t="s">
        <v>73</v>
      </c>
      <c r="CC97">
        <f t="shared" si="35"/>
        <v>598</v>
      </c>
      <c r="CD97" s="95" t="s">
        <v>73</v>
      </c>
    </row>
    <row r="98" spans="1:82" ht="16">
      <c r="A98" s="115" t="s">
        <v>327</v>
      </c>
      <c r="B98" s="115">
        <v>21</v>
      </c>
      <c r="C98" s="95">
        <v>1271</v>
      </c>
      <c r="D98" s="115">
        <v>313</v>
      </c>
      <c r="E98" t="s">
        <v>347</v>
      </c>
      <c r="F98">
        <v>2018</v>
      </c>
      <c r="G98" t="s">
        <v>348</v>
      </c>
      <c r="H98" t="s">
        <v>349</v>
      </c>
      <c r="I98" s="10">
        <v>2</v>
      </c>
      <c r="J98">
        <v>2015</v>
      </c>
      <c r="K98" t="s">
        <v>350</v>
      </c>
      <c r="L98">
        <v>13</v>
      </c>
      <c r="M98" t="s">
        <v>351</v>
      </c>
      <c r="N98" t="s">
        <v>352</v>
      </c>
      <c r="O98" t="s">
        <v>353</v>
      </c>
      <c r="P98" s="10" t="s">
        <v>269</v>
      </c>
      <c r="Q98" t="s">
        <v>236</v>
      </c>
      <c r="R98" t="s">
        <v>243</v>
      </c>
      <c r="S98">
        <v>1</v>
      </c>
      <c r="T98" t="s">
        <v>324</v>
      </c>
      <c r="U98">
        <v>0</v>
      </c>
      <c r="V98" t="s">
        <v>252</v>
      </c>
      <c r="W98" t="s">
        <v>225</v>
      </c>
      <c r="X98" t="s">
        <v>354</v>
      </c>
      <c r="Y98" s="10">
        <v>0</v>
      </c>
      <c r="Z98" s="10">
        <v>1</v>
      </c>
      <c r="AA98" s="10">
        <v>0</v>
      </c>
      <c r="AB98" s="10">
        <v>0</v>
      </c>
      <c r="AC98" s="10">
        <v>0</v>
      </c>
      <c r="AD98" s="10">
        <v>0</v>
      </c>
      <c r="AE98" s="115">
        <v>0</v>
      </c>
      <c r="AF98" s="10">
        <v>0</v>
      </c>
      <c r="AG98" s="10" t="s">
        <v>355</v>
      </c>
      <c r="AH98" s="10">
        <v>0</v>
      </c>
      <c r="AI98" s="10">
        <v>0</v>
      </c>
      <c r="AJ98" s="10">
        <v>0</v>
      </c>
      <c r="AK98" s="10">
        <v>0</v>
      </c>
      <c r="AL98" s="10">
        <v>0</v>
      </c>
      <c r="AM98" s="10">
        <v>1</v>
      </c>
      <c r="AN98" s="10">
        <v>0</v>
      </c>
      <c r="AO98" s="10">
        <v>0</v>
      </c>
      <c r="AP98" s="10">
        <v>0</v>
      </c>
      <c r="AQ98" t="s">
        <v>356</v>
      </c>
      <c r="AR98" t="s">
        <v>227</v>
      </c>
      <c r="AS98" t="s">
        <v>357</v>
      </c>
      <c r="AT98" s="115" t="s">
        <v>229</v>
      </c>
      <c r="AU98" s="7">
        <v>0.1</v>
      </c>
      <c r="AV98" s="7" t="s">
        <v>80</v>
      </c>
      <c r="AW98">
        <v>0.11</v>
      </c>
      <c r="AX98">
        <v>0.05</v>
      </c>
      <c r="AY98">
        <v>2</v>
      </c>
      <c r="AZ98">
        <f>TINV(0.1,CC98)</f>
        <v>1.6474057119344734</v>
      </c>
      <c r="BA98" s="199">
        <f t="shared" si="38"/>
        <v>0.10517091807564771</v>
      </c>
      <c r="BB98" s="99">
        <f t="shared" si="39"/>
        <v>0.52497918747894001</v>
      </c>
      <c r="BC98" s="10" t="s">
        <v>73</v>
      </c>
      <c r="BD98" s="10" t="s">
        <v>73</v>
      </c>
      <c r="BE98" s="10" t="s">
        <v>73</v>
      </c>
      <c r="BF98" s="10" t="s">
        <v>73</v>
      </c>
      <c r="BG98" s="10" t="s">
        <v>73</v>
      </c>
      <c r="BH98" s="10" t="s">
        <v>73</v>
      </c>
      <c r="BI98">
        <v>600</v>
      </c>
      <c r="BJ98">
        <v>600</v>
      </c>
      <c r="BK98" s="10" t="s">
        <v>73</v>
      </c>
      <c r="BL98" s="10" t="s">
        <v>73</v>
      </c>
      <c r="BM98" t="s">
        <v>73</v>
      </c>
      <c r="BN98" t="s">
        <v>73</v>
      </c>
      <c r="BO98" s="115" t="s">
        <v>73</v>
      </c>
      <c r="BP98" s="10" t="s">
        <v>73</v>
      </c>
      <c r="BQ98" s="115" t="s">
        <v>73</v>
      </c>
      <c r="BR98" s="115" t="s">
        <v>73</v>
      </c>
      <c r="BS98" s="115" t="s">
        <v>73</v>
      </c>
      <c r="BT98" s="115" t="s">
        <v>73</v>
      </c>
      <c r="BU98">
        <v>0</v>
      </c>
      <c r="BV98">
        <v>1</v>
      </c>
      <c r="BW98">
        <v>1</v>
      </c>
      <c r="BX98" s="30">
        <f t="shared" si="34"/>
        <v>6.7103465160314887E-2</v>
      </c>
      <c r="BY98" s="30">
        <f t="shared" ref="BY98:BY129" si="40">0.5*LN((1+BX98)/(1-BX98))</f>
        <v>6.7204457661064573E-2</v>
      </c>
      <c r="BZ98" s="30">
        <f t="shared" ref="BZ98:BZ129" si="41">((1-(BY98^2)^2)/(BI98-1))</f>
        <v>1.6694150280093312E-3</v>
      </c>
      <c r="CA98" s="30">
        <f t="shared" ref="CA98:CA129" si="42">1/(BI98-3)</f>
        <v>1.6750418760469012E-3</v>
      </c>
      <c r="CB98" s="95" t="s">
        <v>73</v>
      </c>
      <c r="CC98">
        <f t="shared" si="35"/>
        <v>598</v>
      </c>
      <c r="CD98" s="95" t="s">
        <v>73</v>
      </c>
    </row>
    <row r="99" spans="1:82" ht="16">
      <c r="A99" s="115" t="s">
        <v>327</v>
      </c>
      <c r="B99" s="115">
        <v>21</v>
      </c>
      <c r="C99" s="95">
        <v>1252</v>
      </c>
      <c r="D99" s="115">
        <v>313</v>
      </c>
      <c r="E99" t="s">
        <v>347</v>
      </c>
      <c r="F99">
        <v>2018</v>
      </c>
      <c r="G99" t="s">
        <v>348</v>
      </c>
      <c r="H99" t="s">
        <v>349</v>
      </c>
      <c r="I99" s="10">
        <v>2</v>
      </c>
      <c r="J99">
        <v>2015</v>
      </c>
      <c r="K99" t="s">
        <v>350</v>
      </c>
      <c r="L99">
        <v>13</v>
      </c>
      <c r="M99" t="s">
        <v>351</v>
      </c>
      <c r="N99" t="s">
        <v>352</v>
      </c>
      <c r="O99" t="s">
        <v>353</v>
      </c>
      <c r="P99" s="10" t="s">
        <v>269</v>
      </c>
      <c r="Q99" t="s">
        <v>236</v>
      </c>
      <c r="R99" t="s">
        <v>243</v>
      </c>
      <c r="S99">
        <v>1</v>
      </c>
      <c r="T99" t="s">
        <v>324</v>
      </c>
      <c r="U99">
        <v>0</v>
      </c>
      <c r="V99" t="s">
        <v>252</v>
      </c>
      <c r="W99" t="s">
        <v>225</v>
      </c>
      <c r="X99" t="s">
        <v>354</v>
      </c>
      <c r="Y99" s="10">
        <v>0</v>
      </c>
      <c r="Z99" s="10">
        <v>1</v>
      </c>
      <c r="AA99" s="10">
        <v>0</v>
      </c>
      <c r="AB99" s="10">
        <v>0</v>
      </c>
      <c r="AC99" s="10">
        <v>0</v>
      </c>
      <c r="AD99" s="10">
        <v>0</v>
      </c>
      <c r="AE99" s="115">
        <v>0</v>
      </c>
      <c r="AF99" s="10">
        <v>0</v>
      </c>
      <c r="AG99" s="10" t="s">
        <v>355</v>
      </c>
      <c r="AH99" s="10">
        <v>0</v>
      </c>
      <c r="AI99" s="10">
        <v>0</v>
      </c>
      <c r="AJ99" s="10">
        <v>0</v>
      </c>
      <c r="AK99" s="10">
        <v>0</v>
      </c>
      <c r="AL99" s="10">
        <v>0</v>
      </c>
      <c r="AM99" s="10">
        <v>1</v>
      </c>
      <c r="AN99" s="10">
        <v>0</v>
      </c>
      <c r="AO99" s="10">
        <v>0</v>
      </c>
      <c r="AP99" s="10">
        <v>0</v>
      </c>
      <c r="AQ99" t="s">
        <v>356</v>
      </c>
      <c r="AR99" t="s">
        <v>227</v>
      </c>
      <c r="AS99" t="s">
        <v>357</v>
      </c>
      <c r="AT99" s="115" t="s">
        <v>229</v>
      </c>
      <c r="AU99" s="7">
        <v>0.21</v>
      </c>
      <c r="AV99" s="7" t="s">
        <v>80</v>
      </c>
      <c r="AW99">
        <v>0.03</v>
      </c>
      <c r="AX99">
        <v>0.05</v>
      </c>
      <c r="AY99">
        <v>1</v>
      </c>
      <c r="AZ99">
        <f>TINV(AX99,CC99)</f>
        <v>1.9639388980555066</v>
      </c>
      <c r="BA99" s="199">
        <f t="shared" si="38"/>
        <v>0.23367805995674318</v>
      </c>
      <c r="BB99" s="99">
        <f t="shared" si="39"/>
        <v>0.5523079095743253</v>
      </c>
      <c r="BC99" s="10" t="s">
        <v>73</v>
      </c>
      <c r="BD99" s="10" t="s">
        <v>73</v>
      </c>
      <c r="BE99" s="10" t="s">
        <v>73</v>
      </c>
      <c r="BF99" s="10" t="s">
        <v>73</v>
      </c>
      <c r="BG99" s="10" t="s">
        <v>73</v>
      </c>
      <c r="BH99" s="10" t="s">
        <v>73</v>
      </c>
      <c r="BI99">
        <v>600</v>
      </c>
      <c r="BJ99">
        <v>600</v>
      </c>
      <c r="BK99" s="10" t="s">
        <v>73</v>
      </c>
      <c r="BL99" s="10" t="s">
        <v>73</v>
      </c>
      <c r="BM99" t="s">
        <v>73</v>
      </c>
      <c r="BN99" t="s">
        <v>73</v>
      </c>
      <c r="BO99" s="115" t="s">
        <v>73</v>
      </c>
      <c r="BP99" s="10" t="s">
        <v>73</v>
      </c>
      <c r="BQ99" s="115" t="s">
        <v>73</v>
      </c>
      <c r="BR99" s="115" t="s">
        <v>73</v>
      </c>
      <c r="BS99" s="115" t="s">
        <v>73</v>
      </c>
      <c r="BT99" s="115" t="s">
        <v>73</v>
      </c>
      <c r="BU99">
        <v>0</v>
      </c>
      <c r="BV99">
        <v>1</v>
      </c>
      <c r="BW99">
        <v>1</v>
      </c>
      <c r="BX99" s="30">
        <f t="shared" si="34"/>
        <v>7.9920998150068992E-2</v>
      </c>
      <c r="BY99" s="30">
        <f t="shared" si="40"/>
        <v>8.0091814824645752E-2</v>
      </c>
      <c r="BZ99" s="30">
        <f t="shared" si="41"/>
        <v>1.6693803867099848E-3</v>
      </c>
      <c r="CA99" s="30">
        <f t="shared" si="42"/>
        <v>1.6750418760469012E-3</v>
      </c>
      <c r="CB99" s="95" t="s">
        <v>73</v>
      </c>
      <c r="CC99">
        <f t="shared" si="35"/>
        <v>598</v>
      </c>
      <c r="CD99" s="95" t="s">
        <v>73</v>
      </c>
    </row>
    <row r="100" spans="1:82" ht="16">
      <c r="A100" s="115" t="s">
        <v>327</v>
      </c>
      <c r="B100" s="115">
        <v>21</v>
      </c>
      <c r="C100" s="95">
        <v>1253</v>
      </c>
      <c r="D100" s="115">
        <v>313</v>
      </c>
      <c r="E100" t="s">
        <v>347</v>
      </c>
      <c r="F100">
        <v>2018</v>
      </c>
      <c r="G100" t="s">
        <v>348</v>
      </c>
      <c r="H100" t="s">
        <v>349</v>
      </c>
      <c r="I100" s="10">
        <v>2</v>
      </c>
      <c r="J100">
        <v>2015</v>
      </c>
      <c r="K100" t="s">
        <v>350</v>
      </c>
      <c r="L100">
        <v>13</v>
      </c>
      <c r="M100" t="s">
        <v>351</v>
      </c>
      <c r="N100" t="s">
        <v>352</v>
      </c>
      <c r="O100" t="s">
        <v>353</v>
      </c>
      <c r="P100" s="10" t="s">
        <v>269</v>
      </c>
      <c r="Q100" t="s">
        <v>236</v>
      </c>
      <c r="R100" t="s">
        <v>243</v>
      </c>
      <c r="S100">
        <v>1</v>
      </c>
      <c r="T100" t="s">
        <v>324</v>
      </c>
      <c r="U100">
        <v>0</v>
      </c>
      <c r="V100" t="s">
        <v>252</v>
      </c>
      <c r="W100" t="s">
        <v>225</v>
      </c>
      <c r="X100" t="s">
        <v>354</v>
      </c>
      <c r="Y100" s="10">
        <v>0</v>
      </c>
      <c r="Z100" s="10">
        <v>1</v>
      </c>
      <c r="AA100" s="10">
        <v>0</v>
      </c>
      <c r="AB100" s="10">
        <v>0</v>
      </c>
      <c r="AC100" s="10">
        <v>0</v>
      </c>
      <c r="AD100" s="10">
        <v>0</v>
      </c>
      <c r="AE100" s="115">
        <v>0</v>
      </c>
      <c r="AF100" s="10">
        <v>0</v>
      </c>
      <c r="AG100" s="10" t="s">
        <v>355</v>
      </c>
      <c r="AH100" s="10">
        <v>0</v>
      </c>
      <c r="AI100" s="10">
        <v>0</v>
      </c>
      <c r="AJ100" s="10">
        <v>0</v>
      </c>
      <c r="AK100" s="10">
        <v>0</v>
      </c>
      <c r="AL100" s="10">
        <v>0</v>
      </c>
      <c r="AM100" s="10">
        <v>1</v>
      </c>
      <c r="AN100" s="10">
        <v>0</v>
      </c>
      <c r="AO100" s="10">
        <v>0</v>
      </c>
      <c r="AP100" s="10">
        <v>0</v>
      </c>
      <c r="AQ100" t="s">
        <v>356</v>
      </c>
      <c r="AR100" t="s">
        <v>227</v>
      </c>
      <c r="AS100" t="s">
        <v>357</v>
      </c>
      <c r="AT100" s="115" t="s">
        <v>229</v>
      </c>
      <c r="AU100" s="7">
        <v>0.27</v>
      </c>
      <c r="AV100" s="7" t="s">
        <v>80</v>
      </c>
      <c r="AW100">
        <v>0.05</v>
      </c>
      <c r="AX100">
        <v>0.05</v>
      </c>
      <c r="AY100">
        <v>1</v>
      </c>
      <c r="AZ100">
        <f>TINV(AX100,CC100)</f>
        <v>1.9639388980555066</v>
      </c>
      <c r="BA100" s="199">
        <f t="shared" si="38"/>
        <v>0.3099644507332473</v>
      </c>
      <c r="BB100" s="99">
        <f t="shared" si="39"/>
        <v>0.56709290496545439</v>
      </c>
      <c r="BC100" s="10" t="s">
        <v>73</v>
      </c>
      <c r="BD100" s="10" t="s">
        <v>73</v>
      </c>
      <c r="BE100" s="10" t="s">
        <v>73</v>
      </c>
      <c r="BF100" s="10" t="s">
        <v>73</v>
      </c>
      <c r="BG100" s="10" t="s">
        <v>73</v>
      </c>
      <c r="BH100" s="10" t="s">
        <v>73</v>
      </c>
      <c r="BI100">
        <v>600</v>
      </c>
      <c r="BJ100">
        <v>600</v>
      </c>
      <c r="BK100" s="10" t="s">
        <v>73</v>
      </c>
      <c r="BL100" s="10" t="s">
        <v>73</v>
      </c>
      <c r="BM100" t="s">
        <v>73</v>
      </c>
      <c r="BN100" t="s">
        <v>73</v>
      </c>
      <c r="BO100" s="115" t="s">
        <v>73</v>
      </c>
      <c r="BP100" s="10" t="s">
        <v>73</v>
      </c>
      <c r="BQ100" s="115" t="s">
        <v>73</v>
      </c>
      <c r="BR100" s="115" t="s">
        <v>73</v>
      </c>
      <c r="BS100" s="115" t="s">
        <v>73</v>
      </c>
      <c r="BT100" s="115" t="s">
        <v>73</v>
      </c>
      <c r="BU100">
        <v>0</v>
      </c>
      <c r="BV100">
        <v>1</v>
      </c>
      <c r="BW100">
        <v>1</v>
      </c>
      <c r="BX100" s="30">
        <f t="shared" si="34"/>
        <v>7.9920998150068992E-2</v>
      </c>
      <c r="BY100" s="30">
        <f t="shared" si="40"/>
        <v>8.0091814824645752E-2</v>
      </c>
      <c r="BZ100" s="30">
        <f t="shared" si="41"/>
        <v>1.6693803867099848E-3</v>
      </c>
      <c r="CA100" s="30">
        <f t="shared" si="42"/>
        <v>1.6750418760469012E-3</v>
      </c>
      <c r="CB100" s="95" t="s">
        <v>73</v>
      </c>
      <c r="CC100">
        <f t="shared" si="35"/>
        <v>598</v>
      </c>
      <c r="CD100" s="95" t="s">
        <v>73</v>
      </c>
    </row>
    <row r="101" spans="1:82" ht="16">
      <c r="A101" s="115" t="s">
        <v>327</v>
      </c>
      <c r="B101" s="115">
        <v>21</v>
      </c>
      <c r="C101" s="95">
        <v>1273</v>
      </c>
      <c r="D101" s="115">
        <v>313</v>
      </c>
      <c r="E101" t="s">
        <v>347</v>
      </c>
      <c r="F101">
        <v>2018</v>
      </c>
      <c r="G101" t="s">
        <v>348</v>
      </c>
      <c r="H101" t="s">
        <v>349</v>
      </c>
      <c r="I101" s="10">
        <v>2</v>
      </c>
      <c r="J101">
        <v>2015</v>
      </c>
      <c r="K101" t="s">
        <v>350</v>
      </c>
      <c r="L101">
        <v>13</v>
      </c>
      <c r="M101" t="s">
        <v>351</v>
      </c>
      <c r="N101" t="s">
        <v>352</v>
      </c>
      <c r="O101" t="s">
        <v>353</v>
      </c>
      <c r="P101" s="10" t="s">
        <v>269</v>
      </c>
      <c r="Q101" t="s">
        <v>236</v>
      </c>
      <c r="R101" t="s">
        <v>243</v>
      </c>
      <c r="S101">
        <v>1</v>
      </c>
      <c r="T101" t="s">
        <v>324</v>
      </c>
      <c r="U101">
        <v>0</v>
      </c>
      <c r="V101" t="s">
        <v>252</v>
      </c>
      <c r="W101" t="s">
        <v>225</v>
      </c>
      <c r="X101" t="s">
        <v>354</v>
      </c>
      <c r="Y101" s="10">
        <v>0</v>
      </c>
      <c r="Z101" s="10">
        <v>1</v>
      </c>
      <c r="AA101" s="10">
        <v>1</v>
      </c>
      <c r="AB101" s="10">
        <v>0</v>
      </c>
      <c r="AC101" s="10">
        <v>0</v>
      </c>
      <c r="AD101" s="10">
        <v>0</v>
      </c>
      <c r="AE101" s="115">
        <v>0</v>
      </c>
      <c r="AF101" s="10">
        <v>0</v>
      </c>
      <c r="AG101" s="10" t="s">
        <v>355</v>
      </c>
      <c r="AH101" s="10">
        <v>0</v>
      </c>
      <c r="AI101" s="10">
        <v>0</v>
      </c>
      <c r="AJ101" s="10">
        <v>0</v>
      </c>
      <c r="AK101" s="10">
        <v>0</v>
      </c>
      <c r="AL101" s="10">
        <v>0</v>
      </c>
      <c r="AM101" s="10">
        <v>1</v>
      </c>
      <c r="AN101" s="10">
        <v>0</v>
      </c>
      <c r="AO101" s="10">
        <v>0</v>
      </c>
      <c r="AP101" s="10">
        <v>0</v>
      </c>
      <c r="AQ101" t="s">
        <v>356</v>
      </c>
      <c r="AR101" t="s">
        <v>227</v>
      </c>
      <c r="AS101" t="s">
        <v>357</v>
      </c>
      <c r="AT101" s="115" t="s">
        <v>229</v>
      </c>
      <c r="AU101" s="7">
        <v>0.85</v>
      </c>
      <c r="AV101" s="7" t="s">
        <v>80</v>
      </c>
      <c r="AW101">
        <v>0.11</v>
      </c>
      <c r="AX101">
        <v>0.05</v>
      </c>
      <c r="AY101">
        <v>1</v>
      </c>
      <c r="AZ101">
        <f>TINV(AX101,CC101)</f>
        <v>1.9639388980555066</v>
      </c>
      <c r="BA101" s="199">
        <f t="shared" si="38"/>
        <v>1.3396468519259908</v>
      </c>
      <c r="BB101" s="99">
        <f t="shared" si="39"/>
        <v>0.70056714247397289</v>
      </c>
      <c r="BC101" s="10" t="s">
        <v>73</v>
      </c>
      <c r="BD101" s="10" t="s">
        <v>73</v>
      </c>
      <c r="BE101" s="10" t="s">
        <v>73</v>
      </c>
      <c r="BF101" s="10" t="s">
        <v>73</v>
      </c>
      <c r="BG101" s="10" t="s">
        <v>73</v>
      </c>
      <c r="BH101" s="10" t="s">
        <v>73</v>
      </c>
      <c r="BI101">
        <v>600</v>
      </c>
      <c r="BJ101">
        <v>600</v>
      </c>
      <c r="BK101" s="10" t="s">
        <v>73</v>
      </c>
      <c r="BL101" s="10" t="s">
        <v>73</v>
      </c>
      <c r="BM101" t="s">
        <v>73</v>
      </c>
      <c r="BN101" t="s">
        <v>73</v>
      </c>
      <c r="BO101" s="115" t="s">
        <v>73</v>
      </c>
      <c r="BP101" s="10" t="s">
        <v>73</v>
      </c>
      <c r="BQ101" s="115" t="s">
        <v>73</v>
      </c>
      <c r="BR101" s="115" t="s">
        <v>73</v>
      </c>
      <c r="BS101" s="115" t="s">
        <v>73</v>
      </c>
      <c r="BT101" s="115" t="s">
        <v>73</v>
      </c>
      <c r="BU101">
        <v>0</v>
      </c>
      <c r="BV101">
        <v>1</v>
      </c>
      <c r="BW101">
        <v>1</v>
      </c>
      <c r="BX101" s="30">
        <f t="shared" si="34"/>
        <v>7.9920998150068992E-2</v>
      </c>
      <c r="BY101" s="30">
        <f t="shared" si="40"/>
        <v>8.0091814824645752E-2</v>
      </c>
      <c r="BZ101" s="30">
        <f t="shared" si="41"/>
        <v>1.6693803867099848E-3</v>
      </c>
      <c r="CA101" s="30">
        <f t="shared" si="42"/>
        <v>1.6750418760469012E-3</v>
      </c>
      <c r="CB101" s="95" t="s">
        <v>73</v>
      </c>
      <c r="CC101">
        <f t="shared" si="35"/>
        <v>598</v>
      </c>
      <c r="CD101" s="95" t="s">
        <v>73</v>
      </c>
    </row>
    <row r="102" spans="1:82" ht="16">
      <c r="A102" s="115" t="s">
        <v>327</v>
      </c>
      <c r="B102" s="115">
        <v>21</v>
      </c>
      <c r="C102" s="95">
        <v>1272</v>
      </c>
      <c r="D102" s="115">
        <v>313</v>
      </c>
      <c r="E102" t="s">
        <v>347</v>
      </c>
      <c r="F102">
        <v>2018</v>
      </c>
      <c r="G102" t="s">
        <v>348</v>
      </c>
      <c r="H102" t="s">
        <v>349</v>
      </c>
      <c r="I102" s="10">
        <v>2</v>
      </c>
      <c r="J102">
        <v>2015</v>
      </c>
      <c r="K102" t="s">
        <v>350</v>
      </c>
      <c r="L102">
        <v>13</v>
      </c>
      <c r="M102" t="s">
        <v>351</v>
      </c>
      <c r="N102" t="s">
        <v>352</v>
      </c>
      <c r="O102" t="s">
        <v>353</v>
      </c>
      <c r="P102" s="10" t="s">
        <v>269</v>
      </c>
      <c r="Q102" t="s">
        <v>236</v>
      </c>
      <c r="R102" t="s">
        <v>243</v>
      </c>
      <c r="S102">
        <v>1</v>
      </c>
      <c r="T102" t="s">
        <v>324</v>
      </c>
      <c r="U102">
        <v>0</v>
      </c>
      <c r="V102" t="s">
        <v>252</v>
      </c>
      <c r="W102" t="s">
        <v>225</v>
      </c>
      <c r="X102" t="s">
        <v>354</v>
      </c>
      <c r="Y102" s="10">
        <v>0</v>
      </c>
      <c r="Z102" s="10">
        <v>1</v>
      </c>
      <c r="AA102" s="10">
        <v>1</v>
      </c>
      <c r="AB102" s="10">
        <v>0</v>
      </c>
      <c r="AC102" s="10">
        <v>0</v>
      </c>
      <c r="AD102" s="10">
        <v>0</v>
      </c>
      <c r="AE102" s="115">
        <v>0</v>
      </c>
      <c r="AF102" s="10">
        <v>0</v>
      </c>
      <c r="AG102" s="10" t="s">
        <v>355</v>
      </c>
      <c r="AH102" s="10">
        <v>0</v>
      </c>
      <c r="AI102" s="10">
        <v>0</v>
      </c>
      <c r="AJ102" s="10">
        <v>0</v>
      </c>
      <c r="AK102" s="10">
        <v>0</v>
      </c>
      <c r="AL102" s="10">
        <v>0</v>
      </c>
      <c r="AM102" s="10">
        <v>1</v>
      </c>
      <c r="AN102" s="10">
        <v>0</v>
      </c>
      <c r="AO102" s="10">
        <v>0</v>
      </c>
      <c r="AP102" s="10">
        <v>0</v>
      </c>
      <c r="AQ102" t="s">
        <v>356</v>
      </c>
      <c r="AR102" t="s">
        <v>227</v>
      </c>
      <c r="AS102" t="s">
        <v>357</v>
      </c>
      <c r="AT102" s="115" t="s">
        <v>229</v>
      </c>
      <c r="AU102" s="7">
        <v>0.87</v>
      </c>
      <c r="AV102" s="7" t="s">
        <v>80</v>
      </c>
      <c r="AW102">
        <v>0.1</v>
      </c>
      <c r="AX102">
        <v>0.05</v>
      </c>
      <c r="AY102">
        <v>1</v>
      </c>
      <c r="AZ102">
        <f>TINV(AX102,CC102)</f>
        <v>1.9639388980555066</v>
      </c>
      <c r="BA102" s="199">
        <f t="shared" si="38"/>
        <v>1.3869108535242765</v>
      </c>
      <c r="BB102" s="99">
        <f>EXP(AU102)/(1+EXP(AU102))</f>
        <v>0.70474569799809106</v>
      </c>
      <c r="BC102" s="10" t="s">
        <v>73</v>
      </c>
      <c r="BD102" s="10" t="s">
        <v>73</v>
      </c>
      <c r="BE102" s="10" t="s">
        <v>73</v>
      </c>
      <c r="BF102" s="10" t="s">
        <v>73</v>
      </c>
      <c r="BG102" s="10" t="s">
        <v>73</v>
      </c>
      <c r="BH102" s="10" t="s">
        <v>73</v>
      </c>
      <c r="BI102">
        <v>600</v>
      </c>
      <c r="BJ102">
        <v>600</v>
      </c>
      <c r="BK102" s="10" t="s">
        <v>73</v>
      </c>
      <c r="BL102" s="10" t="s">
        <v>73</v>
      </c>
      <c r="BM102" t="s">
        <v>73</v>
      </c>
      <c r="BN102" t="s">
        <v>73</v>
      </c>
      <c r="BO102" s="115" t="s">
        <v>73</v>
      </c>
      <c r="BP102" s="10" t="s">
        <v>73</v>
      </c>
      <c r="BQ102" s="115" t="s">
        <v>73</v>
      </c>
      <c r="BR102" s="115" t="s">
        <v>73</v>
      </c>
      <c r="BS102" s="115" t="s">
        <v>73</v>
      </c>
      <c r="BT102" s="115" t="s">
        <v>73</v>
      </c>
      <c r="BU102">
        <v>0</v>
      </c>
      <c r="BV102">
        <v>1</v>
      </c>
      <c r="BW102">
        <v>1</v>
      </c>
      <c r="BX102" s="30">
        <f t="shared" si="34"/>
        <v>7.9920998150068992E-2</v>
      </c>
      <c r="BY102" s="30">
        <f t="shared" si="40"/>
        <v>8.0091814824645752E-2</v>
      </c>
      <c r="BZ102" s="30">
        <f t="shared" si="41"/>
        <v>1.6693803867099848E-3</v>
      </c>
      <c r="CA102" s="30">
        <f t="shared" si="42"/>
        <v>1.6750418760469012E-3</v>
      </c>
      <c r="CB102" s="95" t="s">
        <v>73</v>
      </c>
      <c r="CC102">
        <f t="shared" si="35"/>
        <v>598</v>
      </c>
      <c r="CD102" s="95" t="s">
        <v>73</v>
      </c>
    </row>
    <row r="103" spans="1:82" ht="16">
      <c r="A103" t="s">
        <v>262</v>
      </c>
      <c r="B103">
        <v>22</v>
      </c>
      <c r="C103" s="95">
        <v>1278</v>
      </c>
      <c r="D103">
        <v>407</v>
      </c>
      <c r="E103" t="s">
        <v>263</v>
      </c>
      <c r="F103">
        <v>2021</v>
      </c>
      <c r="G103" t="s">
        <v>264</v>
      </c>
      <c r="H103" t="s">
        <v>265</v>
      </c>
      <c r="I103">
        <v>2</v>
      </c>
      <c r="J103" t="s">
        <v>266</v>
      </c>
      <c r="K103" t="s">
        <v>73</v>
      </c>
      <c r="L103">
        <v>9</v>
      </c>
      <c r="M103" t="s">
        <v>267</v>
      </c>
      <c r="N103" t="s">
        <v>268</v>
      </c>
      <c r="O103" t="s">
        <v>148</v>
      </c>
      <c r="P103" t="s">
        <v>269</v>
      </c>
      <c r="Q103" t="s">
        <v>260</v>
      </c>
      <c r="R103" t="s">
        <v>270</v>
      </c>
      <c r="S103">
        <v>1</v>
      </c>
      <c r="T103" t="s">
        <v>73</v>
      </c>
      <c r="U103">
        <v>0</v>
      </c>
      <c r="V103" t="s">
        <v>225</v>
      </c>
      <c r="W103" t="s">
        <v>225</v>
      </c>
      <c r="X103" t="s">
        <v>73</v>
      </c>
      <c r="Y103">
        <v>0</v>
      </c>
      <c r="Z103">
        <v>0</v>
      </c>
      <c r="AA103">
        <v>1</v>
      </c>
      <c r="AB103">
        <v>0</v>
      </c>
      <c r="AC103">
        <v>0</v>
      </c>
      <c r="AD103">
        <v>0</v>
      </c>
      <c r="AE103">
        <v>0</v>
      </c>
      <c r="AF103">
        <v>0</v>
      </c>
      <c r="AG103" t="s">
        <v>73</v>
      </c>
      <c r="AH103">
        <v>0</v>
      </c>
      <c r="AI103">
        <v>0</v>
      </c>
      <c r="AJ103">
        <v>0</v>
      </c>
      <c r="AK103">
        <v>0</v>
      </c>
      <c r="AL103">
        <v>0</v>
      </c>
      <c r="AM103">
        <v>0</v>
      </c>
      <c r="AN103">
        <v>0</v>
      </c>
      <c r="AO103">
        <v>0</v>
      </c>
      <c r="AP103" s="10">
        <v>0</v>
      </c>
      <c r="AQ103" t="s">
        <v>271</v>
      </c>
      <c r="AR103" t="s">
        <v>227</v>
      </c>
      <c r="AS103" s="42" t="s">
        <v>272</v>
      </c>
      <c r="AT103" t="s">
        <v>273</v>
      </c>
      <c r="AU103">
        <v>7.0000000000000001E-3</v>
      </c>
      <c r="AV103" s="7" t="s">
        <v>80</v>
      </c>
      <c r="AW103" s="7" t="s">
        <v>73</v>
      </c>
      <c r="AX103">
        <v>0.1</v>
      </c>
      <c r="AY103">
        <v>2</v>
      </c>
      <c r="AZ103">
        <f>TINV(0.1,CC103)</f>
        <v>1.6458012044463048</v>
      </c>
      <c r="BA103" s="199">
        <f t="shared" si="38"/>
        <v>7.0245572668485856E-3</v>
      </c>
      <c r="BB103" s="99">
        <f t="shared" si="39"/>
        <v>0.50174999285420174</v>
      </c>
      <c r="BC103" t="s">
        <v>73</v>
      </c>
      <c r="BD103" t="s">
        <v>73</v>
      </c>
      <c r="BE103" s="10" t="s">
        <v>73</v>
      </c>
      <c r="BF103" t="s">
        <v>73</v>
      </c>
      <c r="BG103" t="s">
        <v>73</v>
      </c>
      <c r="BH103" t="s">
        <v>73</v>
      </c>
      <c r="BI103">
        <v>1611</v>
      </c>
      <c r="BJ103">
        <v>1611</v>
      </c>
      <c r="BK103" t="s">
        <v>73</v>
      </c>
      <c r="BL103" t="s">
        <v>73</v>
      </c>
      <c r="BM103" t="s">
        <v>73</v>
      </c>
      <c r="BN103" t="s">
        <v>73</v>
      </c>
      <c r="BO103" t="s">
        <v>73</v>
      </c>
      <c r="BP103" t="s">
        <v>73</v>
      </c>
      <c r="BQ103" t="s">
        <v>73</v>
      </c>
      <c r="BR103" t="s">
        <v>73</v>
      </c>
      <c r="BS103" t="s">
        <v>73</v>
      </c>
      <c r="BT103" t="s">
        <v>73</v>
      </c>
      <c r="BU103">
        <v>0</v>
      </c>
      <c r="BV103">
        <v>1</v>
      </c>
      <c r="BW103">
        <v>1</v>
      </c>
      <c r="BX103" s="30">
        <f t="shared" si="34"/>
        <v>4.0969891212699401E-2</v>
      </c>
      <c r="BY103" s="30">
        <f t="shared" si="40"/>
        <v>4.0992837417654034E-2</v>
      </c>
      <c r="BZ103" s="30">
        <f t="shared" si="41"/>
        <v>6.2111625851744845E-4</v>
      </c>
      <c r="CA103" s="30">
        <f t="shared" si="42"/>
        <v>6.2189054726368158E-4</v>
      </c>
      <c r="CB103" s="95" t="s">
        <v>73</v>
      </c>
      <c r="CC103">
        <f t="shared" si="35"/>
        <v>1609</v>
      </c>
      <c r="CD103" s="95" t="s">
        <v>73</v>
      </c>
    </row>
    <row r="104" spans="1:82" ht="16">
      <c r="A104" t="s">
        <v>262</v>
      </c>
      <c r="B104">
        <v>22</v>
      </c>
      <c r="C104" s="95">
        <v>1280</v>
      </c>
      <c r="D104">
        <v>407</v>
      </c>
      <c r="E104" t="s">
        <v>263</v>
      </c>
      <c r="F104">
        <v>2021</v>
      </c>
      <c r="G104" t="s">
        <v>264</v>
      </c>
      <c r="H104" t="s">
        <v>265</v>
      </c>
      <c r="I104">
        <v>2</v>
      </c>
      <c r="J104" t="s">
        <v>266</v>
      </c>
      <c r="K104" t="s">
        <v>73</v>
      </c>
      <c r="L104">
        <v>9</v>
      </c>
      <c r="M104" t="s">
        <v>267</v>
      </c>
      <c r="N104" t="s">
        <v>268</v>
      </c>
      <c r="O104" t="s">
        <v>234</v>
      </c>
      <c r="P104" t="s">
        <v>269</v>
      </c>
      <c r="Q104" t="s">
        <v>260</v>
      </c>
      <c r="R104" t="s">
        <v>270</v>
      </c>
      <c r="S104">
        <v>1</v>
      </c>
      <c r="T104" t="s">
        <v>73</v>
      </c>
      <c r="U104">
        <v>0</v>
      </c>
      <c r="V104" t="s">
        <v>225</v>
      </c>
      <c r="W104" t="s">
        <v>225</v>
      </c>
      <c r="X104" t="s">
        <v>73</v>
      </c>
      <c r="Y104">
        <v>0</v>
      </c>
      <c r="Z104">
        <v>0</v>
      </c>
      <c r="AA104">
        <v>1</v>
      </c>
      <c r="AB104">
        <v>0</v>
      </c>
      <c r="AC104">
        <v>0</v>
      </c>
      <c r="AD104">
        <v>0</v>
      </c>
      <c r="AE104">
        <v>0</v>
      </c>
      <c r="AF104">
        <v>0</v>
      </c>
      <c r="AG104" t="s">
        <v>73</v>
      </c>
      <c r="AH104">
        <v>0</v>
      </c>
      <c r="AI104">
        <v>0</v>
      </c>
      <c r="AJ104">
        <v>0</v>
      </c>
      <c r="AK104">
        <v>0</v>
      </c>
      <c r="AL104">
        <v>0</v>
      </c>
      <c r="AM104">
        <v>0</v>
      </c>
      <c r="AN104">
        <v>0</v>
      </c>
      <c r="AO104">
        <v>0</v>
      </c>
      <c r="AP104" s="10">
        <v>0</v>
      </c>
      <c r="AQ104" t="s">
        <v>271</v>
      </c>
      <c r="AR104" t="s">
        <v>227</v>
      </c>
      <c r="AS104" s="42" t="s">
        <v>272</v>
      </c>
      <c r="AT104" t="s">
        <v>273</v>
      </c>
      <c r="AU104">
        <v>1.2999999999999999E-2</v>
      </c>
      <c r="AV104" s="7" t="s">
        <v>86</v>
      </c>
      <c r="AW104" s="7" t="s">
        <v>73</v>
      </c>
      <c r="AX104">
        <v>0.1</v>
      </c>
      <c r="AY104">
        <v>2</v>
      </c>
      <c r="AZ104">
        <f>TINV(0.1,CC104)</f>
        <v>1.6458012044463048</v>
      </c>
      <c r="BA104" s="199">
        <f t="shared" si="38"/>
        <v>1.3084867359809182E-2</v>
      </c>
      <c r="BB104" s="99">
        <f t="shared" si="39"/>
        <v>0.50324995422994023</v>
      </c>
      <c r="BC104" t="s">
        <v>73</v>
      </c>
      <c r="BD104" t="s">
        <v>73</v>
      </c>
      <c r="BE104" s="10" t="s">
        <v>73</v>
      </c>
      <c r="BF104" t="s">
        <v>73</v>
      </c>
      <c r="BG104" t="s">
        <v>73</v>
      </c>
      <c r="BH104" t="s">
        <v>73</v>
      </c>
      <c r="BI104">
        <v>1611</v>
      </c>
      <c r="BJ104">
        <v>1611</v>
      </c>
      <c r="BK104" t="s">
        <v>73</v>
      </c>
      <c r="BL104" t="s">
        <v>73</v>
      </c>
      <c r="BM104" t="s">
        <v>73</v>
      </c>
      <c r="BN104" t="s">
        <v>73</v>
      </c>
      <c r="BO104" t="s">
        <v>73</v>
      </c>
      <c r="BP104" t="s">
        <v>73</v>
      </c>
      <c r="BQ104" t="s">
        <v>73</v>
      </c>
      <c r="BR104" t="s">
        <v>73</v>
      </c>
      <c r="BS104" t="s">
        <v>73</v>
      </c>
      <c r="BT104" t="s">
        <v>73</v>
      </c>
      <c r="BU104">
        <v>0</v>
      </c>
      <c r="BV104">
        <v>1</v>
      </c>
      <c r="BW104">
        <v>1</v>
      </c>
      <c r="BX104" s="30">
        <f t="shared" si="34"/>
        <v>4.0969891212699401E-2</v>
      </c>
      <c r="BY104" s="30">
        <f t="shared" si="40"/>
        <v>4.0992837417654034E-2</v>
      </c>
      <c r="BZ104" s="30">
        <f t="shared" si="41"/>
        <v>6.2111625851744845E-4</v>
      </c>
      <c r="CA104" s="30">
        <f t="shared" si="42"/>
        <v>6.2189054726368158E-4</v>
      </c>
      <c r="CB104" s="95" t="s">
        <v>73</v>
      </c>
      <c r="CC104">
        <f t="shared" si="35"/>
        <v>1609</v>
      </c>
      <c r="CD104" s="95" t="s">
        <v>73</v>
      </c>
    </row>
    <row r="105" spans="1:82" ht="16">
      <c r="A105" t="s">
        <v>262</v>
      </c>
      <c r="B105">
        <v>22</v>
      </c>
      <c r="C105" s="95">
        <v>1279</v>
      </c>
      <c r="D105">
        <v>407</v>
      </c>
      <c r="E105" t="s">
        <v>263</v>
      </c>
      <c r="F105">
        <v>2021</v>
      </c>
      <c r="G105" t="s">
        <v>264</v>
      </c>
      <c r="H105" t="s">
        <v>265</v>
      </c>
      <c r="I105">
        <v>2</v>
      </c>
      <c r="J105" t="s">
        <v>266</v>
      </c>
      <c r="K105" t="s">
        <v>73</v>
      </c>
      <c r="L105">
        <v>9</v>
      </c>
      <c r="M105" t="s">
        <v>267</v>
      </c>
      <c r="N105" t="s">
        <v>268</v>
      </c>
      <c r="O105" t="s">
        <v>148</v>
      </c>
      <c r="P105" t="s">
        <v>269</v>
      </c>
      <c r="Q105" t="s">
        <v>260</v>
      </c>
      <c r="R105" t="s">
        <v>270</v>
      </c>
      <c r="S105">
        <v>1</v>
      </c>
      <c r="T105" t="s">
        <v>73</v>
      </c>
      <c r="U105">
        <v>0</v>
      </c>
      <c r="V105" t="s">
        <v>225</v>
      </c>
      <c r="W105" t="s">
        <v>225</v>
      </c>
      <c r="X105" t="s">
        <v>73</v>
      </c>
      <c r="Y105">
        <v>0</v>
      </c>
      <c r="Z105">
        <v>0</v>
      </c>
      <c r="AA105">
        <v>1</v>
      </c>
      <c r="AB105">
        <v>0</v>
      </c>
      <c r="AC105">
        <v>0</v>
      </c>
      <c r="AD105">
        <v>0</v>
      </c>
      <c r="AE105">
        <v>0</v>
      </c>
      <c r="AF105">
        <v>0</v>
      </c>
      <c r="AG105" t="s">
        <v>73</v>
      </c>
      <c r="AH105">
        <v>0</v>
      </c>
      <c r="AI105">
        <v>0</v>
      </c>
      <c r="AJ105">
        <v>0</v>
      </c>
      <c r="AK105">
        <v>0</v>
      </c>
      <c r="AL105">
        <v>0</v>
      </c>
      <c r="AM105">
        <v>0</v>
      </c>
      <c r="AN105">
        <v>0</v>
      </c>
      <c r="AO105">
        <v>0</v>
      </c>
      <c r="AP105" s="10">
        <v>0</v>
      </c>
      <c r="AQ105" t="s">
        <v>282</v>
      </c>
      <c r="AR105" t="s">
        <v>227</v>
      </c>
      <c r="AS105" t="s">
        <v>271</v>
      </c>
      <c r="AT105" t="s">
        <v>273</v>
      </c>
      <c r="AU105">
        <v>1.4E-2</v>
      </c>
      <c r="AV105" s="7" t="s">
        <v>86</v>
      </c>
      <c r="AW105" s="7" t="s">
        <v>73</v>
      </c>
      <c r="AX105">
        <v>0.1</v>
      </c>
      <c r="AY105">
        <v>2</v>
      </c>
      <c r="AZ105">
        <f>TINV(0.1,CC105)</f>
        <v>1.6458012044463048</v>
      </c>
      <c r="BA105" s="199">
        <f t="shared" si="38"/>
        <v>1.4098458938492264E-2</v>
      </c>
      <c r="BB105" s="99">
        <f t="shared" si="39"/>
        <v>0.50349994283445376</v>
      </c>
      <c r="BC105" t="s">
        <v>73</v>
      </c>
      <c r="BD105" t="s">
        <v>73</v>
      </c>
      <c r="BE105" s="10" t="s">
        <v>73</v>
      </c>
      <c r="BF105" t="s">
        <v>73</v>
      </c>
      <c r="BG105" t="s">
        <v>73</v>
      </c>
      <c r="BH105" t="s">
        <v>73</v>
      </c>
      <c r="BI105">
        <v>1611</v>
      </c>
      <c r="BJ105">
        <v>1611</v>
      </c>
      <c r="BK105" t="s">
        <v>73</v>
      </c>
      <c r="BL105" t="s">
        <v>73</v>
      </c>
      <c r="BM105" t="s">
        <v>73</v>
      </c>
      <c r="BN105" t="s">
        <v>73</v>
      </c>
      <c r="BO105" t="s">
        <v>73</v>
      </c>
      <c r="BP105" t="s">
        <v>73</v>
      </c>
      <c r="BQ105" t="s">
        <v>73</v>
      </c>
      <c r="BR105" t="s">
        <v>73</v>
      </c>
      <c r="BS105" t="s">
        <v>73</v>
      </c>
      <c r="BT105" t="s">
        <v>73</v>
      </c>
      <c r="BU105">
        <v>0</v>
      </c>
      <c r="BV105">
        <v>1</v>
      </c>
      <c r="BW105">
        <v>1</v>
      </c>
      <c r="BX105" s="30">
        <f t="shared" si="34"/>
        <v>4.0969891212699401E-2</v>
      </c>
      <c r="BY105" s="30">
        <f t="shared" si="40"/>
        <v>4.0992837417654034E-2</v>
      </c>
      <c r="BZ105" s="30">
        <f t="shared" si="41"/>
        <v>6.2111625851744845E-4</v>
      </c>
      <c r="CA105" s="30">
        <f t="shared" si="42"/>
        <v>6.2189054726368158E-4</v>
      </c>
      <c r="CB105" s="95" t="s">
        <v>73</v>
      </c>
      <c r="CC105">
        <f t="shared" si="35"/>
        <v>1609</v>
      </c>
      <c r="CD105" s="95" t="s">
        <v>73</v>
      </c>
    </row>
    <row r="106" spans="1:82" ht="16">
      <c r="A106" t="s">
        <v>262</v>
      </c>
      <c r="B106">
        <v>22</v>
      </c>
      <c r="C106" s="95">
        <v>1299</v>
      </c>
      <c r="D106">
        <v>407</v>
      </c>
      <c r="E106" t="s">
        <v>263</v>
      </c>
      <c r="F106">
        <v>2021</v>
      </c>
      <c r="G106" t="s">
        <v>264</v>
      </c>
      <c r="H106" t="s">
        <v>265</v>
      </c>
      <c r="I106">
        <v>2</v>
      </c>
      <c r="J106" t="s">
        <v>266</v>
      </c>
      <c r="K106" t="s">
        <v>73</v>
      </c>
      <c r="L106">
        <v>9</v>
      </c>
      <c r="M106" t="s">
        <v>267</v>
      </c>
      <c r="N106" t="s">
        <v>268</v>
      </c>
      <c r="O106" t="s">
        <v>274</v>
      </c>
      <c r="P106" t="s">
        <v>269</v>
      </c>
      <c r="Q106" t="s">
        <v>260</v>
      </c>
      <c r="R106" t="s">
        <v>270</v>
      </c>
      <c r="S106">
        <v>1</v>
      </c>
      <c r="T106" t="s">
        <v>73</v>
      </c>
      <c r="U106">
        <v>0</v>
      </c>
      <c r="V106" t="s">
        <v>225</v>
      </c>
      <c r="W106" t="s">
        <v>225</v>
      </c>
      <c r="X106" t="s">
        <v>73</v>
      </c>
      <c r="Y106">
        <v>0</v>
      </c>
      <c r="Z106">
        <v>0</v>
      </c>
      <c r="AA106">
        <v>1</v>
      </c>
      <c r="AB106">
        <v>0</v>
      </c>
      <c r="AC106">
        <v>0</v>
      </c>
      <c r="AD106">
        <v>0</v>
      </c>
      <c r="AE106">
        <v>0</v>
      </c>
      <c r="AF106">
        <v>0</v>
      </c>
      <c r="AG106" t="s">
        <v>73</v>
      </c>
      <c r="AH106">
        <v>0</v>
      </c>
      <c r="AI106">
        <v>0</v>
      </c>
      <c r="AJ106">
        <v>0</v>
      </c>
      <c r="AK106">
        <v>0</v>
      </c>
      <c r="AL106">
        <v>0</v>
      </c>
      <c r="AM106">
        <v>0</v>
      </c>
      <c r="AN106">
        <v>0</v>
      </c>
      <c r="AO106">
        <v>0</v>
      </c>
      <c r="AP106" s="10">
        <v>0</v>
      </c>
      <c r="AQ106" t="s">
        <v>282</v>
      </c>
      <c r="AR106" t="s">
        <v>227</v>
      </c>
      <c r="AS106" t="s">
        <v>271</v>
      </c>
      <c r="AT106" t="s">
        <v>273</v>
      </c>
      <c r="AU106">
        <v>0.04</v>
      </c>
      <c r="AV106" s="7" t="s">
        <v>80</v>
      </c>
      <c r="AW106" s="7" t="s">
        <v>73</v>
      </c>
      <c r="AX106">
        <v>0.1</v>
      </c>
      <c r="AY106">
        <v>1</v>
      </c>
      <c r="AZ106">
        <f>TINV(AX106,CC106)</f>
        <v>1.6458012044463048</v>
      </c>
      <c r="BA106" s="199">
        <f t="shared" si="38"/>
        <v>4.0810774192388211E-2</v>
      </c>
      <c r="BB106" s="99">
        <f t="shared" si="39"/>
        <v>0.50999866687996553</v>
      </c>
      <c r="BC106" t="s">
        <v>73</v>
      </c>
      <c r="BD106" t="s">
        <v>73</v>
      </c>
      <c r="BE106" s="10" t="s">
        <v>73</v>
      </c>
      <c r="BF106" t="s">
        <v>73</v>
      </c>
      <c r="BG106" t="s">
        <v>73</v>
      </c>
      <c r="BH106" t="s">
        <v>73</v>
      </c>
      <c r="BI106">
        <v>1611</v>
      </c>
      <c r="BJ106">
        <v>1611</v>
      </c>
      <c r="BK106" t="s">
        <v>73</v>
      </c>
      <c r="BL106" t="s">
        <v>73</v>
      </c>
      <c r="BM106" t="s">
        <v>73</v>
      </c>
      <c r="BN106" t="s">
        <v>73</v>
      </c>
      <c r="BO106" t="s">
        <v>73</v>
      </c>
      <c r="BP106" t="s">
        <v>73</v>
      </c>
      <c r="BQ106" t="s">
        <v>73</v>
      </c>
      <c r="BR106" t="s">
        <v>73</v>
      </c>
      <c r="BS106" t="s">
        <v>73</v>
      </c>
      <c r="BT106" t="s">
        <v>73</v>
      </c>
      <c r="BU106">
        <v>0</v>
      </c>
      <c r="BV106">
        <v>1</v>
      </c>
      <c r="BW106">
        <v>1</v>
      </c>
      <c r="BX106" s="30">
        <f t="shared" si="34"/>
        <v>4.0969891212699401E-2</v>
      </c>
      <c r="BY106" s="30">
        <f t="shared" si="40"/>
        <v>4.0992837417654034E-2</v>
      </c>
      <c r="BZ106" s="30">
        <f t="shared" si="41"/>
        <v>6.2111625851744845E-4</v>
      </c>
      <c r="CA106" s="30">
        <f t="shared" si="42"/>
        <v>6.2189054726368158E-4</v>
      </c>
      <c r="CB106" s="95" t="s">
        <v>73</v>
      </c>
      <c r="CC106">
        <f t="shared" si="35"/>
        <v>1609</v>
      </c>
      <c r="CD106" s="95" t="s">
        <v>73</v>
      </c>
    </row>
    <row r="107" spans="1:82" ht="16">
      <c r="A107" t="s">
        <v>262</v>
      </c>
      <c r="B107">
        <v>22</v>
      </c>
      <c r="C107" s="95">
        <v>1298</v>
      </c>
      <c r="D107">
        <v>407</v>
      </c>
      <c r="E107" t="s">
        <v>263</v>
      </c>
      <c r="F107">
        <v>2021</v>
      </c>
      <c r="G107" t="s">
        <v>264</v>
      </c>
      <c r="H107" t="s">
        <v>265</v>
      </c>
      <c r="I107">
        <v>2</v>
      </c>
      <c r="J107" t="s">
        <v>266</v>
      </c>
      <c r="K107" t="s">
        <v>73</v>
      </c>
      <c r="L107">
        <v>9</v>
      </c>
      <c r="M107" t="s">
        <v>267</v>
      </c>
      <c r="N107" t="s">
        <v>268</v>
      </c>
      <c r="O107" t="s">
        <v>274</v>
      </c>
      <c r="P107" t="s">
        <v>269</v>
      </c>
      <c r="Q107" t="s">
        <v>260</v>
      </c>
      <c r="R107" t="s">
        <v>270</v>
      </c>
      <c r="S107">
        <v>1</v>
      </c>
      <c r="T107" t="s">
        <v>73</v>
      </c>
      <c r="U107">
        <v>0</v>
      </c>
      <c r="V107" t="s">
        <v>225</v>
      </c>
      <c r="W107" t="s">
        <v>225</v>
      </c>
      <c r="X107" t="s">
        <v>73</v>
      </c>
      <c r="Y107">
        <v>0</v>
      </c>
      <c r="Z107">
        <v>0</v>
      </c>
      <c r="AA107">
        <v>1</v>
      </c>
      <c r="AB107">
        <v>0</v>
      </c>
      <c r="AC107">
        <v>0</v>
      </c>
      <c r="AD107">
        <v>0</v>
      </c>
      <c r="AE107">
        <v>0</v>
      </c>
      <c r="AF107">
        <v>0</v>
      </c>
      <c r="AG107" t="s">
        <v>73</v>
      </c>
      <c r="AH107">
        <v>0</v>
      </c>
      <c r="AI107">
        <v>0</v>
      </c>
      <c r="AJ107">
        <v>0</v>
      </c>
      <c r="AK107">
        <v>0</v>
      </c>
      <c r="AL107">
        <v>0</v>
      </c>
      <c r="AM107">
        <v>0</v>
      </c>
      <c r="AN107">
        <v>0</v>
      </c>
      <c r="AO107">
        <v>0</v>
      </c>
      <c r="AP107" s="10">
        <v>0</v>
      </c>
      <c r="AQ107" t="s">
        <v>271</v>
      </c>
      <c r="AR107" t="s">
        <v>227</v>
      </c>
      <c r="AS107" s="42" t="s">
        <v>272</v>
      </c>
      <c r="AT107" t="s">
        <v>273</v>
      </c>
      <c r="AU107">
        <v>4.1000000000000002E-2</v>
      </c>
      <c r="AV107" s="7" t="s">
        <v>86</v>
      </c>
      <c r="AW107" s="7" t="s">
        <v>73</v>
      </c>
      <c r="AX107">
        <v>0.1</v>
      </c>
      <c r="AY107">
        <v>1</v>
      </c>
      <c r="AZ107">
        <f>TINV(AX107,CC107)</f>
        <v>1.6458012044463048</v>
      </c>
      <c r="BA107" s="199">
        <f t="shared" si="38"/>
        <v>4.1852105545479468E-2</v>
      </c>
      <c r="BB107" s="99">
        <f t="shared" si="39"/>
        <v>0.51024856438715938</v>
      </c>
      <c r="BC107" t="s">
        <v>73</v>
      </c>
      <c r="BD107" t="s">
        <v>73</v>
      </c>
      <c r="BE107" s="10" t="s">
        <v>73</v>
      </c>
      <c r="BF107" t="s">
        <v>73</v>
      </c>
      <c r="BG107" t="s">
        <v>73</v>
      </c>
      <c r="BH107" t="s">
        <v>73</v>
      </c>
      <c r="BI107">
        <v>1611</v>
      </c>
      <c r="BJ107">
        <v>1611</v>
      </c>
      <c r="BK107" t="s">
        <v>73</v>
      </c>
      <c r="BL107" t="s">
        <v>73</v>
      </c>
      <c r="BM107" t="s">
        <v>73</v>
      </c>
      <c r="BN107" t="s">
        <v>73</v>
      </c>
      <c r="BO107" t="s">
        <v>73</v>
      </c>
      <c r="BP107" t="s">
        <v>73</v>
      </c>
      <c r="BQ107" t="s">
        <v>73</v>
      </c>
      <c r="BR107" t="s">
        <v>73</v>
      </c>
      <c r="BS107" t="s">
        <v>73</v>
      </c>
      <c r="BT107" t="s">
        <v>73</v>
      </c>
      <c r="BU107">
        <v>0</v>
      </c>
      <c r="BV107">
        <v>1</v>
      </c>
      <c r="BW107">
        <v>1</v>
      </c>
      <c r="BX107" s="30">
        <f t="shared" si="34"/>
        <v>4.0969891212699401E-2</v>
      </c>
      <c r="BY107" s="30">
        <f t="shared" si="40"/>
        <v>4.0992837417654034E-2</v>
      </c>
      <c r="BZ107" s="30">
        <f t="shared" si="41"/>
        <v>6.2111625851744845E-4</v>
      </c>
      <c r="CA107" s="30">
        <f t="shared" si="42"/>
        <v>6.2189054726368158E-4</v>
      </c>
      <c r="CB107" s="95" t="s">
        <v>73</v>
      </c>
      <c r="CC107">
        <f t="shared" si="35"/>
        <v>1609</v>
      </c>
      <c r="CD107" s="95" t="s">
        <v>73</v>
      </c>
    </row>
    <row r="108" spans="1:82" ht="16">
      <c r="A108" t="s">
        <v>262</v>
      </c>
      <c r="B108">
        <v>22</v>
      </c>
      <c r="C108" s="95">
        <v>1291</v>
      </c>
      <c r="D108">
        <v>407</v>
      </c>
      <c r="E108" t="s">
        <v>263</v>
      </c>
      <c r="F108">
        <v>2021</v>
      </c>
      <c r="G108" t="s">
        <v>264</v>
      </c>
      <c r="H108" t="s">
        <v>265</v>
      </c>
      <c r="I108">
        <v>2</v>
      </c>
      <c r="J108" t="s">
        <v>266</v>
      </c>
      <c r="K108" t="s">
        <v>73</v>
      </c>
      <c r="L108">
        <v>9</v>
      </c>
      <c r="M108" t="s">
        <v>267</v>
      </c>
      <c r="N108" t="s">
        <v>268</v>
      </c>
      <c r="O108" t="s">
        <v>234</v>
      </c>
      <c r="P108" t="s">
        <v>269</v>
      </c>
      <c r="Q108" t="s">
        <v>260</v>
      </c>
      <c r="R108" t="s">
        <v>270</v>
      </c>
      <c r="S108">
        <v>1</v>
      </c>
      <c r="T108" t="s">
        <v>73</v>
      </c>
      <c r="U108">
        <v>0</v>
      </c>
      <c r="V108" t="s">
        <v>225</v>
      </c>
      <c r="W108" t="s">
        <v>225</v>
      </c>
      <c r="X108" t="s">
        <v>73</v>
      </c>
      <c r="Y108">
        <v>0</v>
      </c>
      <c r="Z108">
        <v>0</v>
      </c>
      <c r="AA108">
        <v>1</v>
      </c>
      <c r="AB108">
        <v>0</v>
      </c>
      <c r="AC108">
        <v>0</v>
      </c>
      <c r="AD108">
        <v>0</v>
      </c>
      <c r="AE108">
        <v>0</v>
      </c>
      <c r="AF108">
        <v>0</v>
      </c>
      <c r="AG108" t="s">
        <v>73</v>
      </c>
      <c r="AH108">
        <v>0</v>
      </c>
      <c r="AI108">
        <v>0</v>
      </c>
      <c r="AJ108">
        <v>0</v>
      </c>
      <c r="AK108">
        <v>0</v>
      </c>
      <c r="AL108">
        <v>0</v>
      </c>
      <c r="AM108">
        <v>0</v>
      </c>
      <c r="AN108">
        <v>0</v>
      </c>
      <c r="AO108">
        <v>0</v>
      </c>
      <c r="AP108" s="10">
        <v>0</v>
      </c>
      <c r="AQ108" t="s">
        <v>282</v>
      </c>
      <c r="AR108" t="s">
        <v>227</v>
      </c>
      <c r="AS108" t="s">
        <v>271</v>
      </c>
      <c r="AT108" t="s">
        <v>273</v>
      </c>
      <c r="AU108">
        <v>5.8999999999999997E-2</v>
      </c>
      <c r="AV108" s="7" t="s">
        <v>80</v>
      </c>
      <c r="AW108" s="7" t="s">
        <v>73</v>
      </c>
      <c r="AX108">
        <v>0.1</v>
      </c>
      <c r="AY108">
        <v>2</v>
      </c>
      <c r="AZ108">
        <f>TINV(0.1,CC108)</f>
        <v>1.6458012044463048</v>
      </c>
      <c r="BA108" s="199">
        <f t="shared" si="38"/>
        <v>6.0775240740158942E-2</v>
      </c>
      <c r="BB108" s="99">
        <f t="shared" si="39"/>
        <v>0.51474572275973451</v>
      </c>
      <c r="BC108" t="s">
        <v>73</v>
      </c>
      <c r="BD108" t="s">
        <v>73</v>
      </c>
      <c r="BE108" s="10" t="s">
        <v>73</v>
      </c>
      <c r="BF108" t="s">
        <v>73</v>
      </c>
      <c r="BG108" t="s">
        <v>73</v>
      </c>
      <c r="BH108" t="s">
        <v>73</v>
      </c>
      <c r="BI108">
        <v>1611</v>
      </c>
      <c r="BJ108">
        <v>1611</v>
      </c>
      <c r="BK108" t="s">
        <v>73</v>
      </c>
      <c r="BL108" t="s">
        <v>73</v>
      </c>
      <c r="BM108" t="s">
        <v>73</v>
      </c>
      <c r="BN108" t="s">
        <v>73</v>
      </c>
      <c r="BO108" t="s">
        <v>73</v>
      </c>
      <c r="BP108" t="s">
        <v>73</v>
      </c>
      <c r="BQ108" t="s">
        <v>73</v>
      </c>
      <c r="BR108" t="s">
        <v>73</v>
      </c>
      <c r="BS108" t="s">
        <v>73</v>
      </c>
      <c r="BT108" t="s">
        <v>73</v>
      </c>
      <c r="BU108">
        <v>0</v>
      </c>
      <c r="BV108">
        <v>1</v>
      </c>
      <c r="BW108">
        <v>1</v>
      </c>
      <c r="BX108" s="30">
        <f t="shared" si="34"/>
        <v>4.0969891212699401E-2</v>
      </c>
      <c r="BY108" s="30">
        <f t="shared" si="40"/>
        <v>4.0992837417654034E-2</v>
      </c>
      <c r="BZ108" s="30">
        <f t="shared" si="41"/>
        <v>6.2111625851744845E-4</v>
      </c>
      <c r="CA108" s="30">
        <f t="shared" si="42"/>
        <v>6.2189054726368158E-4</v>
      </c>
      <c r="CB108" s="95" t="s">
        <v>73</v>
      </c>
      <c r="CC108">
        <f t="shared" si="35"/>
        <v>1609</v>
      </c>
      <c r="CD108" s="95" t="s">
        <v>73</v>
      </c>
    </row>
    <row r="109" spans="1:82" ht="16">
      <c r="A109" t="s">
        <v>262</v>
      </c>
      <c r="B109">
        <v>22</v>
      </c>
      <c r="C109" s="95">
        <v>1275</v>
      </c>
      <c r="D109">
        <v>407</v>
      </c>
      <c r="E109" t="s">
        <v>263</v>
      </c>
      <c r="F109">
        <v>2021</v>
      </c>
      <c r="G109" t="s">
        <v>264</v>
      </c>
      <c r="H109" t="s">
        <v>265</v>
      </c>
      <c r="I109">
        <v>2</v>
      </c>
      <c r="J109" t="s">
        <v>266</v>
      </c>
      <c r="K109" t="s">
        <v>73</v>
      </c>
      <c r="L109">
        <v>8</v>
      </c>
      <c r="M109" t="s">
        <v>267</v>
      </c>
      <c r="N109" t="s">
        <v>268</v>
      </c>
      <c r="O109" t="s">
        <v>338</v>
      </c>
      <c r="P109" t="s">
        <v>269</v>
      </c>
      <c r="Q109" t="s">
        <v>260</v>
      </c>
      <c r="R109" t="s">
        <v>270</v>
      </c>
      <c r="S109">
        <v>1</v>
      </c>
      <c r="T109" t="s">
        <v>73</v>
      </c>
      <c r="U109">
        <v>0</v>
      </c>
      <c r="V109" t="s">
        <v>225</v>
      </c>
      <c r="W109" t="s">
        <v>225</v>
      </c>
      <c r="X109" t="s">
        <v>73</v>
      </c>
      <c r="Y109">
        <v>0</v>
      </c>
      <c r="Z109">
        <v>0</v>
      </c>
      <c r="AA109">
        <v>1</v>
      </c>
      <c r="AB109">
        <v>0</v>
      </c>
      <c r="AC109">
        <v>0</v>
      </c>
      <c r="AD109">
        <v>0</v>
      </c>
      <c r="AE109">
        <v>0</v>
      </c>
      <c r="AF109">
        <v>0</v>
      </c>
      <c r="AG109" t="s">
        <v>73</v>
      </c>
      <c r="AH109">
        <v>0</v>
      </c>
      <c r="AI109">
        <v>0</v>
      </c>
      <c r="AJ109">
        <v>0</v>
      </c>
      <c r="AK109">
        <v>0</v>
      </c>
      <c r="AL109">
        <v>0</v>
      </c>
      <c r="AM109">
        <v>0</v>
      </c>
      <c r="AN109">
        <v>0</v>
      </c>
      <c r="AO109">
        <v>0</v>
      </c>
      <c r="AP109" s="10">
        <v>0</v>
      </c>
      <c r="AQ109" t="s">
        <v>282</v>
      </c>
      <c r="AR109" t="s">
        <v>227</v>
      </c>
      <c r="AS109" s="42" t="s">
        <v>272</v>
      </c>
      <c r="AT109" t="s">
        <v>273</v>
      </c>
      <c r="AU109">
        <v>6.4000000000000001E-2</v>
      </c>
      <c r="AV109" s="7" t="s">
        <v>86</v>
      </c>
      <c r="AW109" s="7" t="s">
        <v>73</v>
      </c>
      <c r="AX109">
        <v>0.05</v>
      </c>
      <c r="AY109">
        <v>1</v>
      </c>
      <c r="AZ109">
        <f>TINV(AX109,CC109)</f>
        <v>1.9614394515458273</v>
      </c>
      <c r="BA109" s="199">
        <f t="shared" si="38"/>
        <v>6.6092398761505189E-2</v>
      </c>
      <c r="BB109" s="99">
        <f t="shared" si="39"/>
        <v>0.51599454090270203</v>
      </c>
      <c r="BC109" t="s">
        <v>73</v>
      </c>
      <c r="BD109" t="s">
        <v>73</v>
      </c>
      <c r="BE109" s="10" t="s">
        <v>73</v>
      </c>
      <c r="BF109" t="s">
        <v>73</v>
      </c>
      <c r="BG109" t="s">
        <v>73</v>
      </c>
      <c r="BH109" t="s">
        <v>73</v>
      </c>
      <c r="BI109">
        <v>1611</v>
      </c>
      <c r="BJ109">
        <v>1611</v>
      </c>
      <c r="BK109" t="s">
        <v>73</v>
      </c>
      <c r="BL109" t="s">
        <v>73</v>
      </c>
      <c r="BM109" t="s">
        <v>73</v>
      </c>
      <c r="BN109" t="s">
        <v>73</v>
      </c>
      <c r="BO109" t="s">
        <v>73</v>
      </c>
      <c r="BP109" t="s">
        <v>73</v>
      </c>
      <c r="BQ109" t="s">
        <v>73</v>
      </c>
      <c r="BR109" t="s">
        <v>73</v>
      </c>
      <c r="BS109" t="s">
        <v>73</v>
      </c>
      <c r="BT109" t="s">
        <v>73</v>
      </c>
      <c r="BU109">
        <v>0</v>
      </c>
      <c r="BV109">
        <v>1</v>
      </c>
      <c r="BW109">
        <v>1</v>
      </c>
      <c r="BX109" s="30">
        <f t="shared" si="34"/>
        <v>4.8810042166661197E-2</v>
      </c>
      <c r="BY109" s="30">
        <f t="shared" si="40"/>
        <v>4.8848859679970422E-2</v>
      </c>
      <c r="BZ109" s="30">
        <f t="shared" si="41"/>
        <v>6.2111447577430079E-4</v>
      </c>
      <c r="CA109" s="30">
        <f t="shared" si="42"/>
        <v>6.2189054726368158E-4</v>
      </c>
      <c r="CB109" s="95" t="s">
        <v>73</v>
      </c>
      <c r="CC109">
        <f t="shared" si="35"/>
        <v>1609</v>
      </c>
      <c r="CD109" s="95" t="s">
        <v>73</v>
      </c>
    </row>
    <row r="110" spans="1:82" ht="16">
      <c r="A110" t="s">
        <v>262</v>
      </c>
      <c r="B110">
        <v>22</v>
      </c>
      <c r="C110" s="95">
        <v>1275</v>
      </c>
      <c r="D110">
        <v>407</v>
      </c>
      <c r="E110" t="s">
        <v>263</v>
      </c>
      <c r="F110">
        <v>2021</v>
      </c>
      <c r="G110" t="s">
        <v>264</v>
      </c>
      <c r="H110" t="s">
        <v>265</v>
      </c>
      <c r="I110">
        <v>2</v>
      </c>
      <c r="J110" t="s">
        <v>266</v>
      </c>
      <c r="K110" t="s">
        <v>73</v>
      </c>
      <c r="L110">
        <v>8</v>
      </c>
      <c r="M110" t="s">
        <v>267</v>
      </c>
      <c r="N110" t="s">
        <v>268</v>
      </c>
      <c r="O110" t="s">
        <v>338</v>
      </c>
      <c r="P110" t="s">
        <v>269</v>
      </c>
      <c r="Q110" t="s">
        <v>260</v>
      </c>
      <c r="R110" t="s">
        <v>270</v>
      </c>
      <c r="S110">
        <v>1</v>
      </c>
      <c r="T110" t="s">
        <v>73</v>
      </c>
      <c r="U110">
        <v>0</v>
      </c>
      <c r="V110" t="s">
        <v>225</v>
      </c>
      <c r="W110" t="s">
        <v>225</v>
      </c>
      <c r="X110" t="s">
        <v>73</v>
      </c>
      <c r="Y110">
        <v>0</v>
      </c>
      <c r="Z110">
        <v>0</v>
      </c>
      <c r="AA110">
        <v>1</v>
      </c>
      <c r="AB110">
        <v>0</v>
      </c>
      <c r="AC110">
        <v>0</v>
      </c>
      <c r="AD110">
        <v>0</v>
      </c>
      <c r="AE110">
        <v>0</v>
      </c>
      <c r="AF110">
        <v>0</v>
      </c>
      <c r="AG110" t="s">
        <v>73</v>
      </c>
      <c r="AH110">
        <v>0</v>
      </c>
      <c r="AI110">
        <v>0</v>
      </c>
      <c r="AJ110">
        <v>0</v>
      </c>
      <c r="AK110">
        <v>0</v>
      </c>
      <c r="AL110">
        <v>0</v>
      </c>
      <c r="AM110">
        <v>0</v>
      </c>
      <c r="AN110">
        <v>0</v>
      </c>
      <c r="AO110">
        <v>0</v>
      </c>
      <c r="AP110" s="10">
        <v>0</v>
      </c>
      <c r="AQ110" t="s">
        <v>282</v>
      </c>
      <c r="AR110" t="s">
        <v>227</v>
      </c>
      <c r="AS110" s="42" t="s">
        <v>272</v>
      </c>
      <c r="AT110" t="s">
        <v>273</v>
      </c>
      <c r="AU110">
        <v>6.7000000000000004E-2</v>
      </c>
      <c r="AV110" s="7" t="s">
        <v>86</v>
      </c>
      <c r="AW110" s="7" t="s">
        <v>73</v>
      </c>
      <c r="AX110">
        <v>0.05</v>
      </c>
      <c r="AY110">
        <v>1</v>
      </c>
      <c r="AZ110">
        <f>TINV(AX110,CC110)</f>
        <v>1.9614394515458273</v>
      </c>
      <c r="BA110" s="199">
        <f t="shared" si="38"/>
        <v>6.9295478174600245E-2</v>
      </c>
      <c r="BB110" s="99">
        <f t="shared" si="39"/>
        <v>0.51674373691565023</v>
      </c>
      <c r="BC110" t="s">
        <v>73</v>
      </c>
      <c r="BD110" t="s">
        <v>73</v>
      </c>
      <c r="BE110" s="10" t="s">
        <v>73</v>
      </c>
      <c r="BF110" t="s">
        <v>73</v>
      </c>
      <c r="BG110" t="s">
        <v>73</v>
      </c>
      <c r="BH110" t="s">
        <v>73</v>
      </c>
      <c r="BI110">
        <v>1611</v>
      </c>
      <c r="BJ110">
        <v>1611</v>
      </c>
      <c r="BK110" t="s">
        <v>73</v>
      </c>
      <c r="BL110" t="s">
        <v>73</v>
      </c>
      <c r="BM110" t="s">
        <v>73</v>
      </c>
      <c r="BN110" t="s">
        <v>73</v>
      </c>
      <c r="BO110" t="s">
        <v>73</v>
      </c>
      <c r="BP110" t="s">
        <v>73</v>
      </c>
      <c r="BQ110" t="s">
        <v>73</v>
      </c>
      <c r="BR110" t="s">
        <v>73</v>
      </c>
      <c r="BS110" t="s">
        <v>73</v>
      </c>
      <c r="BT110" t="s">
        <v>73</v>
      </c>
      <c r="BU110">
        <v>0</v>
      </c>
      <c r="BV110">
        <v>1</v>
      </c>
      <c r="BW110">
        <v>1</v>
      </c>
      <c r="BX110" s="30">
        <f t="shared" si="34"/>
        <v>4.8810042166661197E-2</v>
      </c>
      <c r="BY110" s="30">
        <f t="shared" si="40"/>
        <v>4.8848859679970422E-2</v>
      </c>
      <c r="BZ110" s="30">
        <f t="shared" si="41"/>
        <v>6.2111447577430079E-4</v>
      </c>
      <c r="CA110" s="30">
        <f t="shared" si="42"/>
        <v>6.2189054726368158E-4</v>
      </c>
      <c r="CB110" s="95" t="s">
        <v>73</v>
      </c>
      <c r="CC110">
        <f t="shared" si="35"/>
        <v>1609</v>
      </c>
      <c r="CD110" s="95" t="s">
        <v>73</v>
      </c>
    </row>
    <row r="111" spans="1:82" ht="17" customHeight="1">
      <c r="A111" t="s">
        <v>262</v>
      </c>
      <c r="B111">
        <v>22</v>
      </c>
      <c r="C111" s="95">
        <v>1296</v>
      </c>
      <c r="D111">
        <v>407</v>
      </c>
      <c r="E111" t="s">
        <v>263</v>
      </c>
      <c r="F111">
        <v>2021</v>
      </c>
      <c r="G111" t="s">
        <v>264</v>
      </c>
      <c r="H111" t="s">
        <v>265</v>
      </c>
      <c r="I111">
        <v>2</v>
      </c>
      <c r="J111" t="s">
        <v>266</v>
      </c>
      <c r="K111" t="s">
        <v>73</v>
      </c>
      <c r="L111">
        <v>9</v>
      </c>
      <c r="M111" t="s">
        <v>267</v>
      </c>
      <c r="N111" t="s">
        <v>268</v>
      </c>
      <c r="O111" t="s">
        <v>339</v>
      </c>
      <c r="P111" t="s">
        <v>269</v>
      </c>
      <c r="Q111" t="s">
        <v>260</v>
      </c>
      <c r="R111" t="s">
        <v>270</v>
      </c>
      <c r="S111">
        <v>1</v>
      </c>
      <c r="T111" t="s">
        <v>73</v>
      </c>
      <c r="U111">
        <v>0</v>
      </c>
      <c r="V111" t="s">
        <v>225</v>
      </c>
      <c r="W111" t="s">
        <v>225</v>
      </c>
      <c r="X111" t="s">
        <v>73</v>
      </c>
      <c r="Y111">
        <v>0</v>
      </c>
      <c r="Z111">
        <v>0</v>
      </c>
      <c r="AA111">
        <v>1</v>
      </c>
      <c r="AB111">
        <v>0</v>
      </c>
      <c r="AC111">
        <v>0</v>
      </c>
      <c r="AD111">
        <v>0</v>
      </c>
      <c r="AE111">
        <v>0</v>
      </c>
      <c r="AF111">
        <v>0</v>
      </c>
      <c r="AG111" t="s">
        <v>73</v>
      </c>
      <c r="AH111">
        <v>0</v>
      </c>
      <c r="AI111">
        <v>0</v>
      </c>
      <c r="AJ111">
        <v>0</v>
      </c>
      <c r="AK111">
        <v>0</v>
      </c>
      <c r="AL111">
        <v>0</v>
      </c>
      <c r="AM111">
        <v>0</v>
      </c>
      <c r="AN111">
        <v>0</v>
      </c>
      <c r="AO111">
        <v>0</v>
      </c>
      <c r="AP111" s="10">
        <v>0</v>
      </c>
      <c r="AQ111" t="s">
        <v>271</v>
      </c>
      <c r="AR111" t="s">
        <v>227</v>
      </c>
      <c r="AS111" s="42" t="s">
        <v>272</v>
      </c>
      <c r="AT111" t="s">
        <v>273</v>
      </c>
      <c r="AU111">
        <v>7.2999999999999995E-2</v>
      </c>
      <c r="AV111" s="7" t="s">
        <v>86</v>
      </c>
      <c r="AW111" s="7" t="s">
        <v>73</v>
      </c>
      <c r="AX111">
        <v>0.1</v>
      </c>
      <c r="AY111">
        <v>2</v>
      </c>
      <c r="AZ111">
        <f>TINV(0.1,CC111)</f>
        <v>1.6458012044463048</v>
      </c>
      <c r="BA111" s="199">
        <f t="shared" si="38"/>
        <v>7.5730536914703439E-2</v>
      </c>
      <c r="BB111" s="99">
        <f t="shared" si="39"/>
        <v>0.51824189979573809</v>
      </c>
      <c r="BC111" t="s">
        <v>73</v>
      </c>
      <c r="BD111" t="s">
        <v>73</v>
      </c>
      <c r="BE111" s="10" t="s">
        <v>73</v>
      </c>
      <c r="BF111" t="s">
        <v>73</v>
      </c>
      <c r="BG111" t="s">
        <v>73</v>
      </c>
      <c r="BH111" t="s">
        <v>73</v>
      </c>
      <c r="BI111">
        <v>1611</v>
      </c>
      <c r="BJ111">
        <v>1611</v>
      </c>
      <c r="BK111" t="s">
        <v>73</v>
      </c>
      <c r="BL111" t="s">
        <v>73</v>
      </c>
      <c r="BM111" t="s">
        <v>73</v>
      </c>
      <c r="BN111" t="s">
        <v>73</v>
      </c>
      <c r="BO111" t="s">
        <v>73</v>
      </c>
      <c r="BP111" t="s">
        <v>73</v>
      </c>
      <c r="BQ111" t="s">
        <v>73</v>
      </c>
      <c r="BR111" t="s">
        <v>73</v>
      </c>
      <c r="BS111" t="s">
        <v>73</v>
      </c>
      <c r="BT111" t="s">
        <v>73</v>
      </c>
      <c r="BU111">
        <v>0</v>
      </c>
      <c r="BV111">
        <v>1</v>
      </c>
      <c r="BW111">
        <v>1</v>
      </c>
      <c r="BX111" s="30">
        <f t="shared" si="34"/>
        <v>4.0969891212699401E-2</v>
      </c>
      <c r="BY111" s="30">
        <f t="shared" si="40"/>
        <v>4.0992837417654034E-2</v>
      </c>
      <c r="BZ111" s="30">
        <f t="shared" si="41"/>
        <v>6.2111625851744845E-4</v>
      </c>
      <c r="CA111" s="30">
        <f t="shared" si="42"/>
        <v>6.2189054726368158E-4</v>
      </c>
      <c r="CB111" s="95" t="s">
        <v>73</v>
      </c>
      <c r="CC111">
        <f t="shared" si="35"/>
        <v>1609</v>
      </c>
      <c r="CD111" s="95" t="s">
        <v>73</v>
      </c>
    </row>
    <row r="112" spans="1:82" ht="17" customHeight="1">
      <c r="A112" t="s">
        <v>262</v>
      </c>
      <c r="B112">
        <v>22</v>
      </c>
      <c r="C112" s="95">
        <v>1297</v>
      </c>
      <c r="D112">
        <v>407</v>
      </c>
      <c r="E112" t="s">
        <v>263</v>
      </c>
      <c r="F112">
        <v>2021</v>
      </c>
      <c r="G112" t="s">
        <v>264</v>
      </c>
      <c r="H112" t="s">
        <v>265</v>
      </c>
      <c r="I112">
        <v>2</v>
      </c>
      <c r="J112" t="s">
        <v>266</v>
      </c>
      <c r="K112" t="s">
        <v>73</v>
      </c>
      <c r="L112">
        <v>9</v>
      </c>
      <c r="M112" t="s">
        <v>267</v>
      </c>
      <c r="N112" t="s">
        <v>268</v>
      </c>
      <c r="O112" t="s">
        <v>339</v>
      </c>
      <c r="P112" t="s">
        <v>269</v>
      </c>
      <c r="Q112" t="s">
        <v>260</v>
      </c>
      <c r="R112" t="s">
        <v>270</v>
      </c>
      <c r="S112">
        <v>1</v>
      </c>
      <c r="T112" t="s">
        <v>73</v>
      </c>
      <c r="U112">
        <v>0</v>
      </c>
      <c r="V112" t="s">
        <v>225</v>
      </c>
      <c r="W112" t="s">
        <v>225</v>
      </c>
      <c r="X112" t="s">
        <v>73</v>
      </c>
      <c r="Y112">
        <v>0</v>
      </c>
      <c r="Z112">
        <v>0</v>
      </c>
      <c r="AA112">
        <v>1</v>
      </c>
      <c r="AB112">
        <v>0</v>
      </c>
      <c r="AC112">
        <v>0</v>
      </c>
      <c r="AD112">
        <v>0</v>
      </c>
      <c r="AE112">
        <v>0</v>
      </c>
      <c r="AF112">
        <v>0</v>
      </c>
      <c r="AG112" t="s">
        <v>73</v>
      </c>
      <c r="AH112">
        <v>0</v>
      </c>
      <c r="AI112">
        <v>0</v>
      </c>
      <c r="AJ112">
        <v>0</v>
      </c>
      <c r="AK112">
        <v>0</v>
      </c>
      <c r="AL112">
        <v>0</v>
      </c>
      <c r="AM112">
        <v>0</v>
      </c>
      <c r="AN112">
        <v>0</v>
      </c>
      <c r="AO112">
        <v>0</v>
      </c>
      <c r="AP112" s="10">
        <v>0</v>
      </c>
      <c r="AQ112" t="s">
        <v>282</v>
      </c>
      <c r="AR112" t="s">
        <v>227</v>
      </c>
      <c r="AS112" t="s">
        <v>271</v>
      </c>
      <c r="AT112" t="s">
        <v>273</v>
      </c>
      <c r="AU112">
        <v>7.2999999999999995E-2</v>
      </c>
      <c r="AV112" s="7" t="s">
        <v>80</v>
      </c>
      <c r="AW112" s="7" t="s">
        <v>73</v>
      </c>
      <c r="AX112">
        <v>0.1</v>
      </c>
      <c r="AY112">
        <v>2</v>
      </c>
      <c r="AZ112">
        <f>TINV(0.1,CC112)</f>
        <v>1.6458012044463048</v>
      </c>
      <c r="BA112" s="199">
        <f t="shared" si="38"/>
        <v>7.5730536914703439E-2</v>
      </c>
      <c r="BB112" s="99">
        <f t="shared" si="39"/>
        <v>0.51824189979573809</v>
      </c>
      <c r="BC112" t="s">
        <v>73</v>
      </c>
      <c r="BD112" t="s">
        <v>73</v>
      </c>
      <c r="BE112" s="10" t="s">
        <v>73</v>
      </c>
      <c r="BF112" t="s">
        <v>73</v>
      </c>
      <c r="BG112" t="s">
        <v>73</v>
      </c>
      <c r="BH112" t="s">
        <v>73</v>
      </c>
      <c r="BI112">
        <v>1611</v>
      </c>
      <c r="BJ112">
        <v>1611</v>
      </c>
      <c r="BK112" t="s">
        <v>73</v>
      </c>
      <c r="BL112" t="s">
        <v>73</v>
      </c>
      <c r="BM112" t="s">
        <v>73</v>
      </c>
      <c r="BN112" t="s">
        <v>73</v>
      </c>
      <c r="BO112" t="s">
        <v>73</v>
      </c>
      <c r="BP112" t="s">
        <v>73</v>
      </c>
      <c r="BQ112" t="s">
        <v>73</v>
      </c>
      <c r="BR112" t="s">
        <v>73</v>
      </c>
      <c r="BS112" t="s">
        <v>73</v>
      </c>
      <c r="BT112" t="s">
        <v>73</v>
      </c>
      <c r="BU112">
        <v>0</v>
      </c>
      <c r="BV112">
        <v>1</v>
      </c>
      <c r="BW112">
        <v>1</v>
      </c>
      <c r="BX112" s="30">
        <f t="shared" si="34"/>
        <v>4.0969891212699401E-2</v>
      </c>
      <c r="BY112" s="30">
        <f t="shared" si="40"/>
        <v>4.0992837417654034E-2</v>
      </c>
      <c r="BZ112" s="30">
        <f t="shared" si="41"/>
        <v>6.2111625851744845E-4</v>
      </c>
      <c r="CA112" s="30">
        <f t="shared" si="42"/>
        <v>6.2189054726368158E-4</v>
      </c>
      <c r="CB112" s="95" t="s">
        <v>73</v>
      </c>
      <c r="CC112">
        <f t="shared" si="35"/>
        <v>1609</v>
      </c>
      <c r="CD112" s="95" t="s">
        <v>73</v>
      </c>
    </row>
    <row r="113" spans="1:82" ht="16">
      <c r="A113" t="s">
        <v>262</v>
      </c>
      <c r="B113">
        <v>22</v>
      </c>
      <c r="C113" s="95">
        <v>1277</v>
      </c>
      <c r="D113">
        <v>407</v>
      </c>
      <c r="E113" t="s">
        <v>263</v>
      </c>
      <c r="F113">
        <v>2021</v>
      </c>
      <c r="G113" t="s">
        <v>264</v>
      </c>
      <c r="H113" t="s">
        <v>265</v>
      </c>
      <c r="I113">
        <v>2</v>
      </c>
      <c r="J113" t="s">
        <v>266</v>
      </c>
      <c r="K113" t="s">
        <v>73</v>
      </c>
      <c r="L113">
        <v>9</v>
      </c>
      <c r="M113" t="s">
        <v>267</v>
      </c>
      <c r="N113" t="s">
        <v>268</v>
      </c>
      <c r="O113" t="s">
        <v>360</v>
      </c>
      <c r="P113" t="s">
        <v>269</v>
      </c>
      <c r="Q113" t="s">
        <v>260</v>
      </c>
      <c r="R113" t="s">
        <v>270</v>
      </c>
      <c r="S113">
        <v>1</v>
      </c>
      <c r="T113" t="s">
        <v>73</v>
      </c>
      <c r="U113">
        <v>0</v>
      </c>
      <c r="V113" t="s">
        <v>225</v>
      </c>
      <c r="W113" t="s">
        <v>225</v>
      </c>
      <c r="X113" t="s">
        <v>73</v>
      </c>
      <c r="Y113">
        <v>0</v>
      </c>
      <c r="Z113">
        <v>0</v>
      </c>
      <c r="AA113">
        <v>1</v>
      </c>
      <c r="AB113">
        <v>0</v>
      </c>
      <c r="AC113">
        <v>0</v>
      </c>
      <c r="AD113">
        <v>0</v>
      </c>
      <c r="AE113">
        <v>0</v>
      </c>
      <c r="AF113">
        <v>0</v>
      </c>
      <c r="AG113" t="s">
        <v>73</v>
      </c>
      <c r="AH113">
        <v>0</v>
      </c>
      <c r="AI113">
        <v>0</v>
      </c>
      <c r="AJ113">
        <v>0</v>
      </c>
      <c r="AK113">
        <v>0</v>
      </c>
      <c r="AL113">
        <v>0</v>
      </c>
      <c r="AM113">
        <v>0</v>
      </c>
      <c r="AN113">
        <v>0</v>
      </c>
      <c r="AO113">
        <v>0</v>
      </c>
      <c r="AP113" s="10">
        <v>0</v>
      </c>
      <c r="AQ113" t="s">
        <v>282</v>
      </c>
      <c r="AR113" t="s">
        <v>227</v>
      </c>
      <c r="AS113" t="s">
        <v>271</v>
      </c>
      <c r="AT113" t="s">
        <v>273</v>
      </c>
      <c r="AU113">
        <v>9.9000000000000005E-2</v>
      </c>
      <c r="AV113" t="s">
        <v>80</v>
      </c>
      <c r="AW113" t="s">
        <v>73</v>
      </c>
      <c r="AX113">
        <v>0.05</v>
      </c>
      <c r="AY113">
        <v>1</v>
      </c>
      <c r="AZ113">
        <f t="shared" ref="AZ113:AZ124" si="43">TINV(AX113,CC113)</f>
        <v>1.9614394515458273</v>
      </c>
      <c r="BA113" s="199">
        <f t="shared" si="38"/>
        <v>0.10406629955888191</v>
      </c>
      <c r="BB113" s="99">
        <f t="shared" si="39"/>
        <v>0.52472980523016299</v>
      </c>
      <c r="BC113" t="s">
        <v>73</v>
      </c>
      <c r="BD113" t="s">
        <v>73</v>
      </c>
      <c r="BE113" s="10" t="s">
        <v>73</v>
      </c>
      <c r="BF113" t="s">
        <v>73</v>
      </c>
      <c r="BG113" t="s">
        <v>73</v>
      </c>
      <c r="BH113" t="s">
        <v>73</v>
      </c>
      <c r="BI113">
        <v>1611</v>
      </c>
      <c r="BJ113">
        <v>1611</v>
      </c>
      <c r="BK113" t="s">
        <v>73</v>
      </c>
      <c r="BL113" t="s">
        <v>73</v>
      </c>
      <c r="BM113" t="s">
        <v>73</v>
      </c>
      <c r="BN113" t="s">
        <v>73</v>
      </c>
      <c r="BO113" t="s">
        <v>73</v>
      </c>
      <c r="BP113" t="s">
        <v>73</v>
      </c>
      <c r="BQ113" t="s">
        <v>73</v>
      </c>
      <c r="BR113" t="s">
        <v>73</v>
      </c>
      <c r="BS113" t="s">
        <v>73</v>
      </c>
      <c r="BT113" t="s">
        <v>73</v>
      </c>
      <c r="BU113">
        <v>0</v>
      </c>
      <c r="BV113">
        <v>1</v>
      </c>
      <c r="BW113">
        <v>1</v>
      </c>
      <c r="BX113" s="30">
        <f>((AZ112^2)/(AZ112^2+BI113))^(1/2)</f>
        <v>4.0969891212699401E-2</v>
      </c>
      <c r="BY113" s="30">
        <f t="shared" si="40"/>
        <v>4.0992837417654034E-2</v>
      </c>
      <c r="BZ113" s="30">
        <f t="shared" si="41"/>
        <v>6.2111625851744845E-4</v>
      </c>
      <c r="CA113" s="30">
        <f t="shared" si="42"/>
        <v>6.2189054726368158E-4</v>
      </c>
      <c r="CB113" s="95" t="s">
        <v>73</v>
      </c>
      <c r="CC113">
        <f t="shared" si="35"/>
        <v>1609</v>
      </c>
      <c r="CD113" s="95" t="s">
        <v>73</v>
      </c>
    </row>
    <row r="114" spans="1:82" ht="16">
      <c r="A114" t="s">
        <v>262</v>
      </c>
      <c r="B114">
        <v>22</v>
      </c>
      <c r="C114" s="95">
        <v>1276</v>
      </c>
      <c r="D114">
        <v>407</v>
      </c>
      <c r="E114" t="s">
        <v>263</v>
      </c>
      <c r="F114">
        <v>2021</v>
      </c>
      <c r="G114" t="s">
        <v>264</v>
      </c>
      <c r="H114" t="s">
        <v>265</v>
      </c>
      <c r="I114">
        <v>2</v>
      </c>
      <c r="J114" t="s">
        <v>266</v>
      </c>
      <c r="K114" t="s">
        <v>73</v>
      </c>
      <c r="L114">
        <v>8</v>
      </c>
      <c r="M114" t="s">
        <v>267</v>
      </c>
      <c r="N114" t="s">
        <v>268</v>
      </c>
      <c r="O114" t="s">
        <v>360</v>
      </c>
      <c r="P114" t="s">
        <v>269</v>
      </c>
      <c r="Q114" t="s">
        <v>260</v>
      </c>
      <c r="R114" t="s">
        <v>270</v>
      </c>
      <c r="S114">
        <v>1</v>
      </c>
      <c r="T114" t="s">
        <v>73</v>
      </c>
      <c r="U114">
        <v>0</v>
      </c>
      <c r="V114" t="s">
        <v>225</v>
      </c>
      <c r="W114" t="s">
        <v>225</v>
      </c>
      <c r="X114" t="s">
        <v>73</v>
      </c>
      <c r="Y114">
        <v>0</v>
      </c>
      <c r="Z114">
        <v>0</v>
      </c>
      <c r="AA114">
        <v>1</v>
      </c>
      <c r="AB114">
        <v>0</v>
      </c>
      <c r="AC114">
        <v>0</v>
      </c>
      <c r="AD114">
        <v>0</v>
      </c>
      <c r="AE114">
        <v>0</v>
      </c>
      <c r="AF114">
        <v>0</v>
      </c>
      <c r="AG114" t="s">
        <v>73</v>
      </c>
      <c r="AH114">
        <v>0</v>
      </c>
      <c r="AI114">
        <v>0</v>
      </c>
      <c r="AJ114">
        <v>0</v>
      </c>
      <c r="AK114">
        <v>0</v>
      </c>
      <c r="AL114">
        <v>0</v>
      </c>
      <c r="AM114">
        <v>0</v>
      </c>
      <c r="AN114">
        <v>0</v>
      </c>
      <c r="AO114">
        <v>0</v>
      </c>
      <c r="AP114" s="10">
        <v>0</v>
      </c>
      <c r="AQ114" t="s">
        <v>271</v>
      </c>
      <c r="AR114" t="s">
        <v>227</v>
      </c>
      <c r="AS114" s="42" t="s">
        <v>272</v>
      </c>
      <c r="AT114" t="s">
        <v>273</v>
      </c>
      <c r="AU114">
        <v>0.161</v>
      </c>
      <c r="AV114" s="7" t="s">
        <v>86</v>
      </c>
      <c r="AW114" s="7" t="s">
        <v>73</v>
      </c>
      <c r="AX114">
        <v>0.01</v>
      </c>
      <c r="AY114">
        <v>1</v>
      </c>
      <c r="AZ114">
        <f t="shared" si="43"/>
        <v>2.5788883732398911</v>
      </c>
      <c r="BA114" s="199">
        <f t="shared" si="38"/>
        <v>0.17468496881387163</v>
      </c>
      <c r="BB114" s="99">
        <f t="shared" si="39"/>
        <v>0.54016328142212455</v>
      </c>
      <c r="BC114" t="s">
        <v>73</v>
      </c>
      <c r="BD114" t="s">
        <v>73</v>
      </c>
      <c r="BE114" s="10" t="s">
        <v>73</v>
      </c>
      <c r="BF114" t="s">
        <v>73</v>
      </c>
      <c r="BG114" t="s">
        <v>73</v>
      </c>
      <c r="BH114" t="s">
        <v>73</v>
      </c>
      <c r="BI114">
        <v>1611</v>
      </c>
      <c r="BJ114">
        <v>1611</v>
      </c>
      <c r="BK114" t="s">
        <v>73</v>
      </c>
      <c r="BL114" t="s">
        <v>73</v>
      </c>
      <c r="BM114" t="s">
        <v>73</v>
      </c>
      <c r="BN114" t="s">
        <v>73</v>
      </c>
      <c r="BO114" t="s">
        <v>73</v>
      </c>
      <c r="BP114" t="s">
        <v>73</v>
      </c>
      <c r="BQ114" t="s">
        <v>73</v>
      </c>
      <c r="BR114" t="s">
        <v>73</v>
      </c>
      <c r="BS114" t="s">
        <v>73</v>
      </c>
      <c r="BT114" t="s">
        <v>73</v>
      </c>
      <c r="BU114">
        <v>0</v>
      </c>
      <c r="BV114">
        <v>1</v>
      </c>
      <c r="BW114">
        <v>1</v>
      </c>
      <c r="BX114" s="30">
        <f t="shared" ref="BX114:BX136" si="44">((AZ114^2)/(AZ114^2+BI114))^(1/2)</f>
        <v>6.411950690189884E-2</v>
      </c>
      <c r="BY114" s="30">
        <f t="shared" si="40"/>
        <v>6.4207596049565968E-2</v>
      </c>
      <c r="BZ114" s="30">
        <f t="shared" si="41"/>
        <v>6.2110745592692065E-4</v>
      </c>
      <c r="CA114" s="30">
        <f t="shared" si="42"/>
        <v>6.2189054726368158E-4</v>
      </c>
      <c r="CB114" s="95" t="s">
        <v>73</v>
      </c>
      <c r="CC114">
        <f t="shared" si="35"/>
        <v>1609</v>
      </c>
      <c r="CD114" s="95" t="s">
        <v>73</v>
      </c>
    </row>
    <row r="115" spans="1:82" ht="16">
      <c r="A115" s="115" t="s">
        <v>327</v>
      </c>
      <c r="B115" s="115">
        <v>23</v>
      </c>
      <c r="C115" s="95">
        <v>1219</v>
      </c>
      <c r="D115" s="115">
        <v>301</v>
      </c>
      <c r="E115" s="10" t="s">
        <v>550</v>
      </c>
      <c r="F115" s="115">
        <v>2019</v>
      </c>
      <c r="G115" t="s">
        <v>551</v>
      </c>
      <c r="H115" t="s">
        <v>552</v>
      </c>
      <c r="I115" s="10">
        <v>2</v>
      </c>
      <c r="J115" t="s">
        <v>553</v>
      </c>
      <c r="K115" s="115" t="s">
        <v>73</v>
      </c>
      <c r="L115" s="10">
        <v>163</v>
      </c>
      <c r="M115" t="s">
        <v>267</v>
      </c>
      <c r="N115" t="s">
        <v>112</v>
      </c>
      <c r="O115" s="10" t="s">
        <v>124</v>
      </c>
      <c r="P115" s="10" t="s">
        <v>221</v>
      </c>
      <c r="Q115" t="s">
        <v>242</v>
      </c>
      <c r="R115" s="10" t="s">
        <v>243</v>
      </c>
      <c r="S115">
        <v>0</v>
      </c>
      <c r="T115" s="10" t="s">
        <v>224</v>
      </c>
      <c r="U115">
        <v>0</v>
      </c>
      <c r="V115" s="10" t="s">
        <v>252</v>
      </c>
      <c r="W115" s="10" t="s">
        <v>252</v>
      </c>
      <c r="X115" s="10" t="s">
        <v>554</v>
      </c>
      <c r="Y115" s="10">
        <v>0</v>
      </c>
      <c r="Z115" s="10">
        <v>0</v>
      </c>
      <c r="AA115" s="10">
        <v>0</v>
      </c>
      <c r="AB115" s="10">
        <v>1</v>
      </c>
      <c r="AC115" s="10">
        <v>0</v>
      </c>
      <c r="AD115" s="10">
        <v>0</v>
      </c>
      <c r="AE115" s="115">
        <v>0</v>
      </c>
      <c r="AF115" s="115">
        <v>0</v>
      </c>
      <c r="AG115" s="10" t="s">
        <v>555</v>
      </c>
      <c r="AH115" s="10">
        <v>0</v>
      </c>
      <c r="AI115" s="10">
        <v>0</v>
      </c>
      <c r="AJ115" s="10">
        <v>0</v>
      </c>
      <c r="AK115" s="10">
        <v>0</v>
      </c>
      <c r="AL115" s="10">
        <v>0</v>
      </c>
      <c r="AM115" s="10">
        <v>0</v>
      </c>
      <c r="AN115" s="10">
        <v>0</v>
      </c>
      <c r="AO115" s="10">
        <v>1</v>
      </c>
      <c r="AP115" s="10">
        <v>0</v>
      </c>
      <c r="AQ115" s="159" t="s">
        <v>73</v>
      </c>
      <c r="AR115" t="s">
        <v>227</v>
      </c>
      <c r="AS115" t="s">
        <v>556</v>
      </c>
      <c r="AT115" s="10" t="s">
        <v>229</v>
      </c>
      <c r="AU115" s="138" t="s">
        <v>73</v>
      </c>
      <c r="AV115" s="7" t="s">
        <v>80</v>
      </c>
      <c r="AW115" s="10" t="s">
        <v>73</v>
      </c>
      <c r="AX115">
        <v>0.01</v>
      </c>
      <c r="AY115">
        <v>1</v>
      </c>
      <c r="AZ115">
        <f t="shared" si="43"/>
        <v>2.5765924815279417</v>
      </c>
      <c r="BA115" s="200">
        <v>1.4999999999999999E-2</v>
      </c>
      <c r="BB115" s="200">
        <v>1.4999999999999999E-2</v>
      </c>
      <c r="BC115" s="10" t="s">
        <v>73</v>
      </c>
      <c r="BD115" s="10" t="s">
        <v>73</v>
      </c>
      <c r="BE115" s="10" t="s">
        <v>73</v>
      </c>
      <c r="BF115" s="10" t="s">
        <v>73</v>
      </c>
      <c r="BG115" s="10" t="s">
        <v>73</v>
      </c>
      <c r="BH115" s="10" t="s">
        <v>73</v>
      </c>
      <c r="BI115" s="10">
        <v>6445</v>
      </c>
      <c r="BJ115" s="10">
        <v>6445</v>
      </c>
      <c r="BK115" s="10" t="s">
        <v>73</v>
      </c>
      <c r="BL115" s="10" t="s">
        <v>73</v>
      </c>
      <c r="BM115" s="115">
        <v>10000</v>
      </c>
      <c r="BN115" s="115" t="s">
        <v>73</v>
      </c>
      <c r="BO115" s="115" t="s">
        <v>73</v>
      </c>
      <c r="BP115" s="115" t="s">
        <v>73</v>
      </c>
      <c r="BQ115" s="10" t="s">
        <v>73</v>
      </c>
      <c r="BR115" s="10" t="s">
        <v>73</v>
      </c>
      <c r="BS115" s="115" t="s">
        <v>73</v>
      </c>
      <c r="BT115" s="115" t="s">
        <v>73</v>
      </c>
      <c r="BU115" s="115">
        <v>1</v>
      </c>
      <c r="BV115" s="10">
        <v>0</v>
      </c>
      <c r="BW115" s="10">
        <v>0</v>
      </c>
      <c r="BX115" s="30">
        <f t="shared" si="44"/>
        <v>3.2078253247327888E-2</v>
      </c>
      <c r="BY115" s="30">
        <f t="shared" si="40"/>
        <v>3.2089263039774128E-2</v>
      </c>
      <c r="BZ115" s="30">
        <f t="shared" si="41"/>
        <v>1.5518295153244398E-4</v>
      </c>
      <c r="CA115" s="30">
        <f t="shared" si="42"/>
        <v>1.552312946289972E-4</v>
      </c>
      <c r="CB115" s="95" t="s">
        <v>73</v>
      </c>
      <c r="CC115">
        <f t="shared" ref="CC115:CC124" si="45">BI115-1</f>
        <v>6444</v>
      </c>
      <c r="CD115" s="95" t="s">
        <v>73</v>
      </c>
    </row>
    <row r="116" spans="1:82" ht="16">
      <c r="A116" s="115" t="s">
        <v>327</v>
      </c>
      <c r="B116" s="115">
        <v>23</v>
      </c>
      <c r="C116" s="95">
        <v>1220</v>
      </c>
      <c r="D116" s="115">
        <v>301</v>
      </c>
      <c r="E116" s="10" t="s">
        <v>550</v>
      </c>
      <c r="F116" s="115">
        <v>2019</v>
      </c>
      <c r="G116" t="s">
        <v>551</v>
      </c>
      <c r="H116" t="s">
        <v>552</v>
      </c>
      <c r="I116" s="10">
        <v>2</v>
      </c>
      <c r="J116" t="s">
        <v>553</v>
      </c>
      <c r="K116" s="115" t="s">
        <v>73</v>
      </c>
      <c r="L116" s="10">
        <v>163</v>
      </c>
      <c r="M116" t="s">
        <v>267</v>
      </c>
      <c r="N116" t="s">
        <v>112</v>
      </c>
      <c r="O116" s="10" t="s">
        <v>124</v>
      </c>
      <c r="P116" s="10" t="s">
        <v>221</v>
      </c>
      <c r="Q116" t="s">
        <v>242</v>
      </c>
      <c r="R116" s="10" t="s">
        <v>243</v>
      </c>
      <c r="S116">
        <v>0</v>
      </c>
      <c r="T116" s="10" t="s">
        <v>224</v>
      </c>
      <c r="U116">
        <v>0</v>
      </c>
      <c r="V116" s="10" t="s">
        <v>252</v>
      </c>
      <c r="W116" s="10" t="s">
        <v>252</v>
      </c>
      <c r="X116" s="10" t="s">
        <v>554</v>
      </c>
      <c r="Y116" s="10">
        <v>0</v>
      </c>
      <c r="Z116" s="10">
        <v>0</v>
      </c>
      <c r="AA116" s="10">
        <v>0</v>
      </c>
      <c r="AB116" s="10">
        <v>1</v>
      </c>
      <c r="AC116" s="10">
        <v>0</v>
      </c>
      <c r="AD116" s="10">
        <v>0</v>
      </c>
      <c r="AE116" s="115">
        <v>0</v>
      </c>
      <c r="AF116" s="115">
        <v>0</v>
      </c>
      <c r="AG116" s="10" t="s">
        <v>555</v>
      </c>
      <c r="AH116" s="10">
        <v>0</v>
      </c>
      <c r="AI116" s="10">
        <v>0</v>
      </c>
      <c r="AJ116" s="10">
        <v>0</v>
      </c>
      <c r="AK116" s="10">
        <v>0</v>
      </c>
      <c r="AL116" s="10">
        <v>0</v>
      </c>
      <c r="AM116" s="10">
        <v>0</v>
      </c>
      <c r="AN116" s="10">
        <v>0</v>
      </c>
      <c r="AO116" s="10">
        <v>1</v>
      </c>
      <c r="AP116" s="10">
        <v>0</v>
      </c>
      <c r="AQ116" s="159" t="s">
        <v>73</v>
      </c>
      <c r="AR116" t="s">
        <v>227</v>
      </c>
      <c r="AS116" t="s">
        <v>556</v>
      </c>
      <c r="AT116" s="10" t="s">
        <v>229</v>
      </c>
      <c r="AU116" s="138" t="s">
        <v>73</v>
      </c>
      <c r="AV116" s="7" t="s">
        <v>80</v>
      </c>
      <c r="AW116" s="10" t="s">
        <v>73</v>
      </c>
      <c r="AX116">
        <v>0.01</v>
      </c>
      <c r="AY116">
        <v>1</v>
      </c>
      <c r="AZ116">
        <f t="shared" si="43"/>
        <v>2.5765924815279417</v>
      </c>
      <c r="BA116" s="200">
        <v>1.6E-2</v>
      </c>
      <c r="BB116" s="200">
        <v>1.6E-2</v>
      </c>
      <c r="BC116" s="10" t="s">
        <v>73</v>
      </c>
      <c r="BD116" s="10" t="s">
        <v>73</v>
      </c>
      <c r="BE116" s="10" t="s">
        <v>73</v>
      </c>
      <c r="BF116" s="10" t="s">
        <v>73</v>
      </c>
      <c r="BG116" s="10" t="s">
        <v>73</v>
      </c>
      <c r="BH116" s="10" t="s">
        <v>73</v>
      </c>
      <c r="BI116" s="10">
        <v>6445</v>
      </c>
      <c r="BJ116" s="10">
        <v>6445</v>
      </c>
      <c r="BK116" s="10" t="s">
        <v>73</v>
      </c>
      <c r="BL116" s="10" t="s">
        <v>73</v>
      </c>
      <c r="BM116" s="115">
        <v>10000</v>
      </c>
      <c r="BN116" s="115" t="s">
        <v>73</v>
      </c>
      <c r="BO116" s="115" t="s">
        <v>73</v>
      </c>
      <c r="BP116" s="115" t="s">
        <v>73</v>
      </c>
      <c r="BQ116" s="10" t="s">
        <v>73</v>
      </c>
      <c r="BR116" s="10" t="s">
        <v>73</v>
      </c>
      <c r="BS116" s="115" t="s">
        <v>73</v>
      </c>
      <c r="BT116" s="115" t="s">
        <v>73</v>
      </c>
      <c r="BU116" s="115">
        <v>1</v>
      </c>
      <c r="BV116" s="10">
        <v>0</v>
      </c>
      <c r="BW116" s="10">
        <v>0</v>
      </c>
      <c r="BX116" s="30">
        <f t="shared" si="44"/>
        <v>3.2078253247327888E-2</v>
      </c>
      <c r="BY116" s="30">
        <f t="shared" si="40"/>
        <v>3.2089263039774128E-2</v>
      </c>
      <c r="BZ116" s="30">
        <f t="shared" si="41"/>
        <v>1.5518295153244398E-4</v>
      </c>
      <c r="CA116" s="30">
        <f t="shared" si="42"/>
        <v>1.552312946289972E-4</v>
      </c>
      <c r="CB116" s="95" t="s">
        <v>73</v>
      </c>
      <c r="CC116">
        <f t="shared" si="45"/>
        <v>6444</v>
      </c>
      <c r="CD116" s="95" t="s">
        <v>73</v>
      </c>
    </row>
    <row r="117" spans="1:82" s="131" customFormat="1" ht="16">
      <c r="A117" s="115" t="s">
        <v>327</v>
      </c>
      <c r="B117" s="115">
        <v>23</v>
      </c>
      <c r="C117" s="95">
        <v>1221</v>
      </c>
      <c r="D117" s="115">
        <v>301</v>
      </c>
      <c r="E117" s="10" t="s">
        <v>550</v>
      </c>
      <c r="F117" s="115">
        <v>2019</v>
      </c>
      <c r="G117" t="s">
        <v>551</v>
      </c>
      <c r="H117" t="s">
        <v>552</v>
      </c>
      <c r="I117" s="10">
        <v>2</v>
      </c>
      <c r="J117" t="s">
        <v>553</v>
      </c>
      <c r="K117" s="115" t="s">
        <v>73</v>
      </c>
      <c r="L117" s="10">
        <v>163</v>
      </c>
      <c r="M117" t="s">
        <v>267</v>
      </c>
      <c r="N117" t="s">
        <v>112</v>
      </c>
      <c r="O117" s="10" t="s">
        <v>124</v>
      </c>
      <c r="P117" s="10" t="s">
        <v>221</v>
      </c>
      <c r="Q117" t="s">
        <v>242</v>
      </c>
      <c r="R117" s="10" t="s">
        <v>243</v>
      </c>
      <c r="S117">
        <v>0</v>
      </c>
      <c r="T117" s="10" t="s">
        <v>224</v>
      </c>
      <c r="U117">
        <v>0</v>
      </c>
      <c r="V117" s="10" t="s">
        <v>252</v>
      </c>
      <c r="W117" s="10" t="s">
        <v>252</v>
      </c>
      <c r="X117" s="10" t="s">
        <v>554</v>
      </c>
      <c r="Y117" s="10">
        <v>0</v>
      </c>
      <c r="Z117" s="10">
        <v>0</v>
      </c>
      <c r="AA117" s="10">
        <v>0</v>
      </c>
      <c r="AB117" s="10">
        <v>1</v>
      </c>
      <c r="AC117" s="10">
        <v>0</v>
      </c>
      <c r="AD117" s="10">
        <v>0</v>
      </c>
      <c r="AE117" s="115">
        <v>0</v>
      </c>
      <c r="AF117" s="115">
        <v>0</v>
      </c>
      <c r="AG117" s="10" t="s">
        <v>555</v>
      </c>
      <c r="AH117" s="10">
        <v>0</v>
      </c>
      <c r="AI117" s="10">
        <v>0</v>
      </c>
      <c r="AJ117" s="10">
        <v>0</v>
      </c>
      <c r="AK117" s="10">
        <v>0</v>
      </c>
      <c r="AL117" s="10">
        <v>0</v>
      </c>
      <c r="AM117" s="10">
        <v>0</v>
      </c>
      <c r="AN117" s="10">
        <v>0</v>
      </c>
      <c r="AO117" s="10">
        <v>1</v>
      </c>
      <c r="AP117" s="10">
        <v>0</v>
      </c>
      <c r="AQ117" s="159" t="s">
        <v>73</v>
      </c>
      <c r="AR117" t="s">
        <v>227</v>
      </c>
      <c r="AS117" t="s">
        <v>556</v>
      </c>
      <c r="AT117" s="10" t="s">
        <v>229</v>
      </c>
      <c r="AU117" s="138" t="s">
        <v>73</v>
      </c>
      <c r="AV117" s="7" t="s">
        <v>80</v>
      </c>
      <c r="AW117" s="10" t="s">
        <v>73</v>
      </c>
      <c r="AX117">
        <v>0.01</v>
      </c>
      <c r="AY117">
        <v>1</v>
      </c>
      <c r="AZ117">
        <f t="shared" si="43"/>
        <v>2.5765924815279417</v>
      </c>
      <c r="BA117" s="200">
        <v>1.7000000000000001E-2</v>
      </c>
      <c r="BB117" s="200">
        <v>1.7000000000000001E-2</v>
      </c>
      <c r="BC117" s="10" t="s">
        <v>73</v>
      </c>
      <c r="BD117" s="10" t="s">
        <v>73</v>
      </c>
      <c r="BE117" s="10" t="s">
        <v>73</v>
      </c>
      <c r="BF117" s="10" t="s">
        <v>73</v>
      </c>
      <c r="BG117" s="10" t="s">
        <v>73</v>
      </c>
      <c r="BH117" s="10" t="s">
        <v>73</v>
      </c>
      <c r="BI117" s="10">
        <v>6445</v>
      </c>
      <c r="BJ117" s="10">
        <v>6445</v>
      </c>
      <c r="BK117" s="10" t="s">
        <v>73</v>
      </c>
      <c r="BL117" s="10" t="s">
        <v>73</v>
      </c>
      <c r="BM117" s="115">
        <v>10000</v>
      </c>
      <c r="BN117" s="115" t="s">
        <v>73</v>
      </c>
      <c r="BO117" s="115" t="s">
        <v>73</v>
      </c>
      <c r="BP117" s="115" t="s">
        <v>73</v>
      </c>
      <c r="BQ117" s="10" t="s">
        <v>73</v>
      </c>
      <c r="BR117" s="10" t="s">
        <v>73</v>
      </c>
      <c r="BS117" s="115" t="s">
        <v>73</v>
      </c>
      <c r="BT117" s="115" t="s">
        <v>73</v>
      </c>
      <c r="BU117" s="115">
        <v>1</v>
      </c>
      <c r="BV117" s="10">
        <v>0</v>
      </c>
      <c r="BW117" s="10">
        <v>0</v>
      </c>
      <c r="BX117" s="30">
        <f t="shared" si="44"/>
        <v>3.2078253247327888E-2</v>
      </c>
      <c r="BY117" s="30">
        <f t="shared" si="40"/>
        <v>3.2089263039774128E-2</v>
      </c>
      <c r="BZ117" s="30">
        <f t="shared" si="41"/>
        <v>1.5518295153244398E-4</v>
      </c>
      <c r="CA117" s="30">
        <f t="shared" si="42"/>
        <v>1.552312946289972E-4</v>
      </c>
      <c r="CB117" s="95" t="s">
        <v>73</v>
      </c>
      <c r="CC117">
        <f t="shared" si="45"/>
        <v>6444</v>
      </c>
      <c r="CD117" s="95" t="s">
        <v>73</v>
      </c>
    </row>
    <row r="118" spans="1:82" ht="16">
      <c r="A118" s="115" t="s">
        <v>327</v>
      </c>
      <c r="B118" s="115">
        <v>23</v>
      </c>
      <c r="C118" s="95">
        <v>1222</v>
      </c>
      <c r="D118" s="115">
        <v>301</v>
      </c>
      <c r="E118" s="10" t="s">
        <v>550</v>
      </c>
      <c r="F118" s="115">
        <v>2019</v>
      </c>
      <c r="G118" t="s">
        <v>551</v>
      </c>
      <c r="H118" t="s">
        <v>552</v>
      </c>
      <c r="I118" s="10">
        <v>2</v>
      </c>
      <c r="J118" t="s">
        <v>553</v>
      </c>
      <c r="K118" s="115" t="s">
        <v>73</v>
      </c>
      <c r="L118" s="10">
        <v>163</v>
      </c>
      <c r="M118" t="s">
        <v>267</v>
      </c>
      <c r="N118" t="s">
        <v>112</v>
      </c>
      <c r="O118" s="10" t="s">
        <v>124</v>
      </c>
      <c r="P118" s="10" t="s">
        <v>221</v>
      </c>
      <c r="Q118" t="s">
        <v>242</v>
      </c>
      <c r="R118" s="10" t="s">
        <v>243</v>
      </c>
      <c r="S118">
        <v>0</v>
      </c>
      <c r="T118" s="10" t="s">
        <v>224</v>
      </c>
      <c r="U118">
        <v>0</v>
      </c>
      <c r="V118" s="10" t="s">
        <v>252</v>
      </c>
      <c r="W118" s="10" t="s">
        <v>252</v>
      </c>
      <c r="X118" s="10" t="s">
        <v>554</v>
      </c>
      <c r="Y118" s="10">
        <v>0</v>
      </c>
      <c r="Z118" s="10">
        <v>0</v>
      </c>
      <c r="AA118" s="10">
        <v>0</v>
      </c>
      <c r="AB118" s="10">
        <v>1</v>
      </c>
      <c r="AC118" s="10">
        <v>0</v>
      </c>
      <c r="AD118" s="10">
        <v>0</v>
      </c>
      <c r="AE118" s="115">
        <v>0</v>
      </c>
      <c r="AF118" s="115">
        <v>0</v>
      </c>
      <c r="AG118" s="10" t="s">
        <v>555</v>
      </c>
      <c r="AH118" s="10">
        <v>0</v>
      </c>
      <c r="AI118" s="10">
        <v>0</v>
      </c>
      <c r="AJ118" s="10">
        <v>0</v>
      </c>
      <c r="AK118" s="10">
        <v>0</v>
      </c>
      <c r="AL118" s="10">
        <v>0</v>
      </c>
      <c r="AM118" s="10">
        <v>0</v>
      </c>
      <c r="AN118" s="10">
        <v>0</v>
      </c>
      <c r="AO118" s="10">
        <v>1</v>
      </c>
      <c r="AP118" s="10">
        <v>0</v>
      </c>
      <c r="AQ118" s="159" t="s">
        <v>73</v>
      </c>
      <c r="AR118" t="s">
        <v>227</v>
      </c>
      <c r="AS118" t="s">
        <v>556</v>
      </c>
      <c r="AT118" s="10" t="s">
        <v>229</v>
      </c>
      <c r="AU118" s="138" t="s">
        <v>73</v>
      </c>
      <c r="AV118" s="7" t="s">
        <v>80</v>
      </c>
      <c r="AW118" s="10" t="s">
        <v>73</v>
      </c>
      <c r="AX118">
        <v>0.01</v>
      </c>
      <c r="AY118">
        <v>1</v>
      </c>
      <c r="AZ118">
        <f t="shared" si="43"/>
        <v>2.5765924815279417</v>
      </c>
      <c r="BA118" s="200">
        <v>1.7999999999999999E-2</v>
      </c>
      <c r="BB118" s="200">
        <v>1.7999999999999999E-2</v>
      </c>
      <c r="BC118" s="10" t="s">
        <v>73</v>
      </c>
      <c r="BD118" s="10" t="s">
        <v>73</v>
      </c>
      <c r="BE118" s="10" t="s">
        <v>73</v>
      </c>
      <c r="BF118" s="10" t="s">
        <v>73</v>
      </c>
      <c r="BG118" s="10" t="s">
        <v>73</v>
      </c>
      <c r="BH118" s="10" t="s">
        <v>73</v>
      </c>
      <c r="BI118" s="10">
        <v>6445</v>
      </c>
      <c r="BJ118" s="10">
        <v>6445</v>
      </c>
      <c r="BK118" s="10" t="s">
        <v>73</v>
      </c>
      <c r="BL118" s="10" t="s">
        <v>73</v>
      </c>
      <c r="BM118" s="115">
        <v>10000</v>
      </c>
      <c r="BN118" s="115" t="s">
        <v>73</v>
      </c>
      <c r="BO118" s="115" t="s">
        <v>73</v>
      </c>
      <c r="BP118" s="115" t="s">
        <v>73</v>
      </c>
      <c r="BQ118" s="10" t="s">
        <v>73</v>
      </c>
      <c r="BR118" s="10" t="s">
        <v>73</v>
      </c>
      <c r="BS118" s="115" t="s">
        <v>73</v>
      </c>
      <c r="BT118" s="115" t="s">
        <v>73</v>
      </c>
      <c r="BU118" s="115">
        <v>1</v>
      </c>
      <c r="BV118" s="10">
        <v>0</v>
      </c>
      <c r="BW118" s="10">
        <v>0</v>
      </c>
      <c r="BX118" s="30">
        <f t="shared" si="44"/>
        <v>3.2078253247327888E-2</v>
      </c>
      <c r="BY118" s="30">
        <f t="shared" si="40"/>
        <v>3.2089263039774128E-2</v>
      </c>
      <c r="BZ118" s="30">
        <f t="shared" si="41"/>
        <v>1.5518295153244398E-4</v>
      </c>
      <c r="CA118" s="30">
        <f t="shared" si="42"/>
        <v>1.552312946289972E-4</v>
      </c>
      <c r="CB118" s="95" t="s">
        <v>73</v>
      </c>
      <c r="CC118">
        <f t="shared" si="45"/>
        <v>6444</v>
      </c>
      <c r="CD118" s="95" t="s">
        <v>73</v>
      </c>
    </row>
    <row r="119" spans="1:82" ht="16">
      <c r="A119" s="115" t="s">
        <v>327</v>
      </c>
      <c r="B119" s="115">
        <v>23</v>
      </c>
      <c r="C119" s="95">
        <v>1223</v>
      </c>
      <c r="D119" s="115">
        <v>301</v>
      </c>
      <c r="E119" s="10" t="s">
        <v>550</v>
      </c>
      <c r="F119" s="115">
        <v>2019</v>
      </c>
      <c r="G119" t="s">
        <v>551</v>
      </c>
      <c r="H119" t="s">
        <v>552</v>
      </c>
      <c r="I119" s="10">
        <v>2</v>
      </c>
      <c r="J119" t="s">
        <v>553</v>
      </c>
      <c r="K119" s="115" t="s">
        <v>73</v>
      </c>
      <c r="L119" s="10">
        <v>163</v>
      </c>
      <c r="M119" t="s">
        <v>267</v>
      </c>
      <c r="N119" t="s">
        <v>112</v>
      </c>
      <c r="O119" s="10" t="s">
        <v>124</v>
      </c>
      <c r="P119" s="10" t="s">
        <v>221</v>
      </c>
      <c r="Q119" t="s">
        <v>242</v>
      </c>
      <c r="R119" s="10" t="s">
        <v>243</v>
      </c>
      <c r="S119">
        <v>0</v>
      </c>
      <c r="T119" s="10" t="s">
        <v>224</v>
      </c>
      <c r="U119">
        <v>0</v>
      </c>
      <c r="V119" s="10" t="s">
        <v>252</v>
      </c>
      <c r="W119" s="10" t="s">
        <v>252</v>
      </c>
      <c r="X119" s="10" t="s">
        <v>554</v>
      </c>
      <c r="Y119" s="10">
        <v>0</v>
      </c>
      <c r="Z119" s="10">
        <v>0</v>
      </c>
      <c r="AA119" s="10">
        <v>0</v>
      </c>
      <c r="AB119" s="10">
        <v>1</v>
      </c>
      <c r="AC119" s="10">
        <v>0</v>
      </c>
      <c r="AD119" s="10">
        <v>0</v>
      </c>
      <c r="AE119" s="115">
        <v>0</v>
      </c>
      <c r="AF119" s="115">
        <v>0</v>
      </c>
      <c r="AG119" s="10" t="s">
        <v>555</v>
      </c>
      <c r="AH119" s="10">
        <v>0</v>
      </c>
      <c r="AI119" s="10">
        <v>0</v>
      </c>
      <c r="AJ119" s="10">
        <v>0</v>
      </c>
      <c r="AK119" s="10">
        <v>0</v>
      </c>
      <c r="AL119" s="10">
        <v>0</v>
      </c>
      <c r="AM119" s="10">
        <v>0</v>
      </c>
      <c r="AN119" s="10">
        <v>0</v>
      </c>
      <c r="AO119" s="10">
        <v>1</v>
      </c>
      <c r="AP119" s="10">
        <v>0</v>
      </c>
      <c r="AQ119" s="159" t="s">
        <v>73</v>
      </c>
      <c r="AR119" t="s">
        <v>227</v>
      </c>
      <c r="AS119" t="s">
        <v>556</v>
      </c>
      <c r="AT119" s="10" t="s">
        <v>229</v>
      </c>
      <c r="AU119" s="138" t="s">
        <v>73</v>
      </c>
      <c r="AV119" s="7" t="s">
        <v>80</v>
      </c>
      <c r="AW119" s="10" t="s">
        <v>73</v>
      </c>
      <c r="AX119">
        <v>0.01</v>
      </c>
      <c r="AY119">
        <v>1</v>
      </c>
      <c r="AZ119">
        <f t="shared" si="43"/>
        <v>2.5765924815279417</v>
      </c>
      <c r="BA119" s="200">
        <v>1.9E-2</v>
      </c>
      <c r="BB119" s="200">
        <v>1.9E-2</v>
      </c>
      <c r="BC119" s="10" t="s">
        <v>73</v>
      </c>
      <c r="BD119" s="10" t="s">
        <v>73</v>
      </c>
      <c r="BE119" s="10" t="s">
        <v>73</v>
      </c>
      <c r="BF119" s="10" t="s">
        <v>73</v>
      </c>
      <c r="BG119" s="10" t="s">
        <v>73</v>
      </c>
      <c r="BH119" s="10" t="s">
        <v>73</v>
      </c>
      <c r="BI119" s="10">
        <v>6445</v>
      </c>
      <c r="BJ119" s="10">
        <v>6445</v>
      </c>
      <c r="BK119" s="10" t="s">
        <v>73</v>
      </c>
      <c r="BL119" s="10" t="s">
        <v>73</v>
      </c>
      <c r="BM119" s="115">
        <v>10000</v>
      </c>
      <c r="BN119" s="115" t="s">
        <v>73</v>
      </c>
      <c r="BO119" s="115" t="s">
        <v>73</v>
      </c>
      <c r="BP119" s="115" t="s">
        <v>73</v>
      </c>
      <c r="BQ119" s="10" t="s">
        <v>73</v>
      </c>
      <c r="BR119" s="10" t="s">
        <v>73</v>
      </c>
      <c r="BS119" s="115" t="s">
        <v>73</v>
      </c>
      <c r="BT119" s="115" t="s">
        <v>73</v>
      </c>
      <c r="BU119" s="115">
        <v>1</v>
      </c>
      <c r="BV119" s="10">
        <v>0</v>
      </c>
      <c r="BW119" s="10">
        <v>0</v>
      </c>
      <c r="BX119" s="30">
        <f t="shared" si="44"/>
        <v>3.2078253247327888E-2</v>
      </c>
      <c r="BY119" s="30">
        <f t="shared" si="40"/>
        <v>3.2089263039774128E-2</v>
      </c>
      <c r="BZ119" s="30">
        <f t="shared" si="41"/>
        <v>1.5518295153244398E-4</v>
      </c>
      <c r="CA119" s="30">
        <f t="shared" si="42"/>
        <v>1.552312946289972E-4</v>
      </c>
      <c r="CB119" s="95" t="s">
        <v>73</v>
      </c>
      <c r="CC119">
        <f t="shared" si="45"/>
        <v>6444</v>
      </c>
      <c r="CD119" s="95" t="s">
        <v>73</v>
      </c>
    </row>
    <row r="120" spans="1:82" ht="16">
      <c r="A120" s="115" t="s">
        <v>327</v>
      </c>
      <c r="B120" s="115">
        <v>23</v>
      </c>
      <c r="C120" s="95">
        <v>1224</v>
      </c>
      <c r="D120" s="115">
        <v>301</v>
      </c>
      <c r="E120" s="10" t="s">
        <v>550</v>
      </c>
      <c r="F120" s="115">
        <v>2019</v>
      </c>
      <c r="G120" t="s">
        <v>551</v>
      </c>
      <c r="H120" t="s">
        <v>552</v>
      </c>
      <c r="I120" s="10">
        <v>2</v>
      </c>
      <c r="J120" t="s">
        <v>553</v>
      </c>
      <c r="K120" s="115" t="s">
        <v>73</v>
      </c>
      <c r="L120" s="10">
        <v>163</v>
      </c>
      <c r="M120" t="s">
        <v>267</v>
      </c>
      <c r="N120" t="s">
        <v>112</v>
      </c>
      <c r="O120" s="10" t="s">
        <v>124</v>
      </c>
      <c r="P120" s="10" t="s">
        <v>221</v>
      </c>
      <c r="Q120" t="s">
        <v>242</v>
      </c>
      <c r="R120" s="10" t="s">
        <v>243</v>
      </c>
      <c r="S120">
        <v>0</v>
      </c>
      <c r="T120" s="10" t="s">
        <v>224</v>
      </c>
      <c r="U120">
        <v>0</v>
      </c>
      <c r="V120" s="10" t="s">
        <v>252</v>
      </c>
      <c r="W120" s="10" t="s">
        <v>252</v>
      </c>
      <c r="X120" s="10" t="s">
        <v>554</v>
      </c>
      <c r="Y120" s="10">
        <v>0</v>
      </c>
      <c r="Z120" s="10">
        <v>0</v>
      </c>
      <c r="AA120" s="10">
        <v>0</v>
      </c>
      <c r="AB120" s="10">
        <v>1</v>
      </c>
      <c r="AC120" s="10">
        <v>0</v>
      </c>
      <c r="AD120" s="10">
        <v>0</v>
      </c>
      <c r="AE120" s="115">
        <v>0</v>
      </c>
      <c r="AF120" s="115">
        <v>0</v>
      </c>
      <c r="AG120" s="10" t="s">
        <v>555</v>
      </c>
      <c r="AH120" s="10">
        <v>0</v>
      </c>
      <c r="AI120" s="10">
        <v>0</v>
      </c>
      <c r="AJ120" s="10">
        <v>0</v>
      </c>
      <c r="AK120" s="10">
        <v>0</v>
      </c>
      <c r="AL120" s="10">
        <v>0</v>
      </c>
      <c r="AM120" s="10">
        <v>0</v>
      </c>
      <c r="AN120" s="10">
        <v>0</v>
      </c>
      <c r="AO120" s="10">
        <v>1</v>
      </c>
      <c r="AP120" s="10">
        <v>0</v>
      </c>
      <c r="AQ120" s="159" t="s">
        <v>73</v>
      </c>
      <c r="AR120" t="s">
        <v>227</v>
      </c>
      <c r="AS120" t="s">
        <v>556</v>
      </c>
      <c r="AT120" s="10" t="s">
        <v>229</v>
      </c>
      <c r="AU120" s="138" t="s">
        <v>73</v>
      </c>
      <c r="AV120" s="7" t="s">
        <v>86</v>
      </c>
      <c r="AW120" s="10" t="s">
        <v>73</v>
      </c>
      <c r="AX120">
        <v>0.01</v>
      </c>
      <c r="AY120">
        <v>1</v>
      </c>
      <c r="AZ120">
        <f t="shared" si="43"/>
        <v>2.5765924815279417</v>
      </c>
      <c r="BA120" s="200">
        <v>1E-3</v>
      </c>
      <c r="BB120" s="200">
        <v>1E-3</v>
      </c>
      <c r="BC120" s="10" t="s">
        <v>73</v>
      </c>
      <c r="BD120" s="10" t="s">
        <v>73</v>
      </c>
      <c r="BE120" s="10" t="s">
        <v>73</v>
      </c>
      <c r="BF120" s="10" t="s">
        <v>73</v>
      </c>
      <c r="BG120" s="10" t="s">
        <v>73</v>
      </c>
      <c r="BH120" s="10" t="s">
        <v>73</v>
      </c>
      <c r="BI120" s="10">
        <v>6445</v>
      </c>
      <c r="BJ120" s="10">
        <v>6445</v>
      </c>
      <c r="BK120" s="10" t="s">
        <v>73</v>
      </c>
      <c r="BL120" s="10" t="s">
        <v>73</v>
      </c>
      <c r="BM120" s="115">
        <v>4000</v>
      </c>
      <c r="BN120" s="115" t="s">
        <v>73</v>
      </c>
      <c r="BO120" s="115" t="s">
        <v>73</v>
      </c>
      <c r="BP120" s="115" t="s">
        <v>73</v>
      </c>
      <c r="BQ120" s="10" t="s">
        <v>73</v>
      </c>
      <c r="BR120" s="10" t="s">
        <v>73</v>
      </c>
      <c r="BS120" s="115" t="s">
        <v>73</v>
      </c>
      <c r="BT120" s="115" t="s">
        <v>73</v>
      </c>
      <c r="BU120" s="115">
        <v>1</v>
      </c>
      <c r="BV120" s="10">
        <v>0</v>
      </c>
      <c r="BW120" s="10">
        <v>0</v>
      </c>
      <c r="BX120" s="30">
        <f t="shared" si="44"/>
        <v>3.2078253247327888E-2</v>
      </c>
      <c r="BY120" s="30">
        <f t="shared" si="40"/>
        <v>3.2089263039774128E-2</v>
      </c>
      <c r="BZ120" s="30">
        <f t="shared" si="41"/>
        <v>1.5518295153244398E-4</v>
      </c>
      <c r="CA120" s="30">
        <f t="shared" si="42"/>
        <v>1.552312946289972E-4</v>
      </c>
      <c r="CB120" s="95" t="s">
        <v>73</v>
      </c>
      <c r="CC120">
        <f t="shared" si="45"/>
        <v>6444</v>
      </c>
      <c r="CD120" s="95" t="s">
        <v>73</v>
      </c>
    </row>
    <row r="121" spans="1:82" ht="17" customHeight="1">
      <c r="A121" s="115" t="s">
        <v>327</v>
      </c>
      <c r="B121" s="115">
        <v>23</v>
      </c>
      <c r="C121" s="95">
        <v>1225</v>
      </c>
      <c r="D121" s="115">
        <v>301</v>
      </c>
      <c r="E121" s="10" t="s">
        <v>550</v>
      </c>
      <c r="F121" s="115">
        <v>2019</v>
      </c>
      <c r="G121" t="s">
        <v>551</v>
      </c>
      <c r="H121" t="s">
        <v>552</v>
      </c>
      <c r="I121" s="10">
        <v>2</v>
      </c>
      <c r="J121" t="s">
        <v>553</v>
      </c>
      <c r="K121" s="115" t="s">
        <v>73</v>
      </c>
      <c r="L121" s="10">
        <v>163</v>
      </c>
      <c r="M121" t="s">
        <v>267</v>
      </c>
      <c r="N121" t="s">
        <v>112</v>
      </c>
      <c r="O121" s="10" t="s">
        <v>124</v>
      </c>
      <c r="P121" s="10" t="s">
        <v>221</v>
      </c>
      <c r="Q121" t="s">
        <v>242</v>
      </c>
      <c r="R121" s="10" t="s">
        <v>243</v>
      </c>
      <c r="S121">
        <v>0</v>
      </c>
      <c r="T121" s="10" t="s">
        <v>224</v>
      </c>
      <c r="U121">
        <v>0</v>
      </c>
      <c r="V121" s="10" t="s">
        <v>252</v>
      </c>
      <c r="W121" s="10" t="s">
        <v>252</v>
      </c>
      <c r="X121" s="10" t="s">
        <v>554</v>
      </c>
      <c r="Y121" s="10">
        <v>0</v>
      </c>
      <c r="Z121" s="10">
        <v>0</v>
      </c>
      <c r="AA121" s="10">
        <v>0</v>
      </c>
      <c r="AB121" s="10">
        <v>1</v>
      </c>
      <c r="AC121" s="10">
        <v>0</v>
      </c>
      <c r="AD121" s="10">
        <v>0</v>
      </c>
      <c r="AE121" s="115">
        <v>0</v>
      </c>
      <c r="AF121" s="115">
        <v>0</v>
      </c>
      <c r="AG121" s="10" t="s">
        <v>555</v>
      </c>
      <c r="AH121" s="10">
        <v>0</v>
      </c>
      <c r="AI121" s="10">
        <v>0</v>
      </c>
      <c r="AJ121" s="10">
        <v>0</v>
      </c>
      <c r="AK121" s="10">
        <v>0</v>
      </c>
      <c r="AL121" s="10">
        <v>0</v>
      </c>
      <c r="AM121" s="10">
        <v>0</v>
      </c>
      <c r="AN121" s="10">
        <v>0</v>
      </c>
      <c r="AO121" s="10">
        <v>1</v>
      </c>
      <c r="AP121" s="10">
        <v>0</v>
      </c>
      <c r="AQ121" s="159" t="s">
        <v>73</v>
      </c>
      <c r="AR121" t="s">
        <v>227</v>
      </c>
      <c r="AS121" t="s">
        <v>556</v>
      </c>
      <c r="AT121" s="10" t="s">
        <v>229</v>
      </c>
      <c r="AU121" s="138" t="s">
        <v>73</v>
      </c>
      <c r="AV121" s="7" t="s">
        <v>86</v>
      </c>
      <c r="AW121" s="10" t="s">
        <v>73</v>
      </c>
      <c r="AX121">
        <v>0.01</v>
      </c>
      <c r="AY121">
        <v>1</v>
      </c>
      <c r="AZ121">
        <f t="shared" si="43"/>
        <v>2.5765924815279417</v>
      </c>
      <c r="BA121" s="200">
        <v>1E-4</v>
      </c>
      <c r="BB121" s="200">
        <v>1E-4</v>
      </c>
      <c r="BC121" s="10" t="s">
        <v>73</v>
      </c>
      <c r="BD121" s="10" t="s">
        <v>73</v>
      </c>
      <c r="BE121" s="10" t="s">
        <v>73</v>
      </c>
      <c r="BF121" s="10" t="s">
        <v>73</v>
      </c>
      <c r="BG121" s="10" t="s">
        <v>73</v>
      </c>
      <c r="BH121" s="10" t="s">
        <v>73</v>
      </c>
      <c r="BI121" s="10">
        <v>6445</v>
      </c>
      <c r="BJ121" s="10">
        <v>6445</v>
      </c>
      <c r="BK121" s="10" t="s">
        <v>73</v>
      </c>
      <c r="BL121" s="10" t="s">
        <v>73</v>
      </c>
      <c r="BM121" s="115">
        <v>4000</v>
      </c>
      <c r="BN121" s="115" t="s">
        <v>73</v>
      </c>
      <c r="BO121" s="115" t="s">
        <v>73</v>
      </c>
      <c r="BP121" s="115" t="s">
        <v>73</v>
      </c>
      <c r="BQ121" s="10" t="s">
        <v>73</v>
      </c>
      <c r="BR121" s="10" t="s">
        <v>73</v>
      </c>
      <c r="BS121" s="115" t="s">
        <v>73</v>
      </c>
      <c r="BT121" s="115" t="s">
        <v>73</v>
      </c>
      <c r="BU121" s="115">
        <v>1</v>
      </c>
      <c r="BV121" s="10">
        <v>0</v>
      </c>
      <c r="BW121" s="10">
        <v>0</v>
      </c>
      <c r="BX121" s="30">
        <f t="shared" si="44"/>
        <v>3.2078253247327888E-2</v>
      </c>
      <c r="BY121" s="30">
        <f t="shared" si="40"/>
        <v>3.2089263039774128E-2</v>
      </c>
      <c r="BZ121" s="30">
        <f t="shared" si="41"/>
        <v>1.5518295153244398E-4</v>
      </c>
      <c r="CA121" s="30">
        <f t="shared" si="42"/>
        <v>1.552312946289972E-4</v>
      </c>
      <c r="CB121" s="95" t="s">
        <v>73</v>
      </c>
      <c r="CC121">
        <f t="shared" si="45"/>
        <v>6444</v>
      </c>
      <c r="CD121" s="95" t="s">
        <v>73</v>
      </c>
    </row>
    <row r="122" spans="1:82" s="131" customFormat="1" ht="16">
      <c r="A122" s="115" t="s">
        <v>327</v>
      </c>
      <c r="B122" s="115">
        <v>23</v>
      </c>
      <c r="C122" s="95">
        <v>1226</v>
      </c>
      <c r="D122" s="115">
        <v>301</v>
      </c>
      <c r="E122" s="10" t="s">
        <v>550</v>
      </c>
      <c r="F122" s="115">
        <v>2019</v>
      </c>
      <c r="G122" t="s">
        <v>551</v>
      </c>
      <c r="H122" t="s">
        <v>552</v>
      </c>
      <c r="I122" s="10">
        <v>2</v>
      </c>
      <c r="J122" t="s">
        <v>553</v>
      </c>
      <c r="K122" s="115" t="s">
        <v>73</v>
      </c>
      <c r="L122" s="10">
        <v>163</v>
      </c>
      <c r="M122" t="s">
        <v>267</v>
      </c>
      <c r="N122" t="s">
        <v>112</v>
      </c>
      <c r="O122" s="10" t="s">
        <v>124</v>
      </c>
      <c r="P122" s="10" t="s">
        <v>221</v>
      </c>
      <c r="Q122" t="s">
        <v>242</v>
      </c>
      <c r="R122" s="10" t="s">
        <v>243</v>
      </c>
      <c r="S122">
        <v>0</v>
      </c>
      <c r="T122" s="10" t="s">
        <v>224</v>
      </c>
      <c r="U122">
        <v>0</v>
      </c>
      <c r="V122" s="10" t="s">
        <v>252</v>
      </c>
      <c r="W122" s="10" t="s">
        <v>252</v>
      </c>
      <c r="X122" s="10" t="s">
        <v>554</v>
      </c>
      <c r="Y122" s="10">
        <v>0</v>
      </c>
      <c r="Z122" s="10">
        <v>0</v>
      </c>
      <c r="AA122" s="10">
        <v>0</v>
      </c>
      <c r="AB122" s="10">
        <v>1</v>
      </c>
      <c r="AC122" s="10">
        <v>0</v>
      </c>
      <c r="AD122" s="10">
        <v>0</v>
      </c>
      <c r="AE122" s="115">
        <v>0</v>
      </c>
      <c r="AF122" s="115">
        <v>0</v>
      </c>
      <c r="AG122" s="10" t="s">
        <v>555</v>
      </c>
      <c r="AH122" s="10">
        <v>0</v>
      </c>
      <c r="AI122" s="10">
        <v>0</v>
      </c>
      <c r="AJ122" s="10">
        <v>0</v>
      </c>
      <c r="AK122" s="10">
        <v>0</v>
      </c>
      <c r="AL122" s="10">
        <v>0</v>
      </c>
      <c r="AM122" s="10">
        <v>0</v>
      </c>
      <c r="AN122" s="10">
        <v>0</v>
      </c>
      <c r="AO122" s="10">
        <v>1</v>
      </c>
      <c r="AP122" s="10">
        <v>0</v>
      </c>
      <c r="AQ122" s="159" t="s">
        <v>73</v>
      </c>
      <c r="AR122" t="s">
        <v>227</v>
      </c>
      <c r="AS122" t="s">
        <v>556</v>
      </c>
      <c r="AT122" s="10" t="s">
        <v>229</v>
      </c>
      <c r="AU122" s="138" t="s">
        <v>73</v>
      </c>
      <c r="AV122" s="7" t="s">
        <v>80</v>
      </c>
      <c r="AW122" s="10" t="s">
        <v>73</v>
      </c>
      <c r="AX122">
        <v>0.01</v>
      </c>
      <c r="AY122">
        <v>1</v>
      </c>
      <c r="AZ122">
        <f t="shared" si="43"/>
        <v>2.5765924815279417</v>
      </c>
      <c r="BA122" s="200">
        <v>5.9999999999999995E-4</v>
      </c>
      <c r="BB122" s="200">
        <v>5.9999999999999995E-4</v>
      </c>
      <c r="BC122" s="10" t="s">
        <v>73</v>
      </c>
      <c r="BD122" s="10" t="s">
        <v>73</v>
      </c>
      <c r="BE122" s="10" t="s">
        <v>73</v>
      </c>
      <c r="BF122" s="10" t="s">
        <v>73</v>
      </c>
      <c r="BG122" s="10" t="s">
        <v>73</v>
      </c>
      <c r="BH122" s="10" t="s">
        <v>73</v>
      </c>
      <c r="BI122" s="10">
        <v>6445</v>
      </c>
      <c r="BJ122" s="10">
        <v>6445</v>
      </c>
      <c r="BK122" s="10" t="s">
        <v>73</v>
      </c>
      <c r="BL122" s="10" t="s">
        <v>73</v>
      </c>
      <c r="BM122" s="115">
        <v>4000</v>
      </c>
      <c r="BN122" s="115" t="s">
        <v>73</v>
      </c>
      <c r="BO122" s="115" t="s">
        <v>73</v>
      </c>
      <c r="BP122" s="115" t="s">
        <v>73</v>
      </c>
      <c r="BQ122" s="10" t="s">
        <v>73</v>
      </c>
      <c r="BR122" s="10" t="s">
        <v>73</v>
      </c>
      <c r="BS122" s="115" t="s">
        <v>73</v>
      </c>
      <c r="BT122" s="115" t="s">
        <v>73</v>
      </c>
      <c r="BU122" s="115">
        <v>1</v>
      </c>
      <c r="BV122" s="10">
        <v>0</v>
      </c>
      <c r="BW122" s="10">
        <v>0</v>
      </c>
      <c r="BX122" s="30">
        <f t="shared" si="44"/>
        <v>3.2078253247327888E-2</v>
      </c>
      <c r="BY122" s="30">
        <f t="shared" si="40"/>
        <v>3.2089263039774128E-2</v>
      </c>
      <c r="BZ122" s="30">
        <f t="shared" si="41"/>
        <v>1.5518295153244398E-4</v>
      </c>
      <c r="CA122" s="30">
        <f t="shared" si="42"/>
        <v>1.552312946289972E-4</v>
      </c>
      <c r="CB122" s="95" t="s">
        <v>73</v>
      </c>
      <c r="CC122">
        <f t="shared" si="45"/>
        <v>6444</v>
      </c>
      <c r="CD122" s="95" t="s">
        <v>73</v>
      </c>
    </row>
    <row r="123" spans="1:82" ht="16">
      <c r="A123" s="115" t="s">
        <v>327</v>
      </c>
      <c r="B123" s="115">
        <v>23</v>
      </c>
      <c r="C123" s="95">
        <v>1227</v>
      </c>
      <c r="D123" s="115">
        <v>301</v>
      </c>
      <c r="E123" s="10" t="s">
        <v>550</v>
      </c>
      <c r="F123" s="115">
        <v>2019</v>
      </c>
      <c r="G123" t="s">
        <v>551</v>
      </c>
      <c r="H123" t="s">
        <v>552</v>
      </c>
      <c r="I123" s="10">
        <v>2</v>
      </c>
      <c r="J123" t="s">
        <v>553</v>
      </c>
      <c r="K123" s="115" t="s">
        <v>73</v>
      </c>
      <c r="L123" s="10">
        <v>163</v>
      </c>
      <c r="M123" t="s">
        <v>267</v>
      </c>
      <c r="N123" t="s">
        <v>112</v>
      </c>
      <c r="O123" s="10" t="s">
        <v>124</v>
      </c>
      <c r="P123" s="10" t="s">
        <v>221</v>
      </c>
      <c r="Q123" t="s">
        <v>242</v>
      </c>
      <c r="R123" s="10" t="s">
        <v>243</v>
      </c>
      <c r="S123">
        <v>0</v>
      </c>
      <c r="T123" s="10" t="s">
        <v>224</v>
      </c>
      <c r="U123">
        <v>0</v>
      </c>
      <c r="V123" s="10" t="s">
        <v>252</v>
      </c>
      <c r="W123" s="10" t="s">
        <v>252</v>
      </c>
      <c r="X123" s="10" t="s">
        <v>554</v>
      </c>
      <c r="Y123" s="10">
        <v>0</v>
      </c>
      <c r="Z123" s="10">
        <v>0</v>
      </c>
      <c r="AA123" s="10">
        <v>0</v>
      </c>
      <c r="AB123" s="10">
        <v>1</v>
      </c>
      <c r="AC123" s="10">
        <v>0</v>
      </c>
      <c r="AD123" s="10">
        <v>0</v>
      </c>
      <c r="AE123" s="115">
        <v>0</v>
      </c>
      <c r="AF123" s="115">
        <v>0</v>
      </c>
      <c r="AG123" s="10" t="s">
        <v>555</v>
      </c>
      <c r="AH123" s="10">
        <v>0</v>
      </c>
      <c r="AI123" s="10">
        <v>0</v>
      </c>
      <c r="AJ123" s="10">
        <v>0</v>
      </c>
      <c r="AK123" s="10">
        <v>0</v>
      </c>
      <c r="AL123" s="10">
        <v>0</v>
      </c>
      <c r="AM123" s="10">
        <v>0</v>
      </c>
      <c r="AN123" s="10">
        <v>0</v>
      </c>
      <c r="AO123" s="10">
        <v>1</v>
      </c>
      <c r="AP123" s="10">
        <v>0</v>
      </c>
      <c r="AQ123" s="159" t="s">
        <v>73</v>
      </c>
      <c r="AR123" t="s">
        <v>227</v>
      </c>
      <c r="AS123" t="s">
        <v>556</v>
      </c>
      <c r="AT123" s="10" t="s">
        <v>229</v>
      </c>
      <c r="AU123" s="138" t="s">
        <v>73</v>
      </c>
      <c r="AV123" s="7" t="s">
        <v>80</v>
      </c>
      <c r="AW123" s="10" t="s">
        <v>73</v>
      </c>
      <c r="AX123">
        <v>0.01</v>
      </c>
      <c r="AY123">
        <v>1</v>
      </c>
      <c r="AZ123">
        <f t="shared" si="43"/>
        <v>2.5765924815279417</v>
      </c>
      <c r="BA123" s="200">
        <v>1E-3</v>
      </c>
      <c r="BB123" s="200">
        <v>1E-3</v>
      </c>
      <c r="BC123" s="10" t="s">
        <v>73</v>
      </c>
      <c r="BD123" s="10" t="s">
        <v>73</v>
      </c>
      <c r="BE123" s="10" t="s">
        <v>73</v>
      </c>
      <c r="BF123" s="10" t="s">
        <v>73</v>
      </c>
      <c r="BG123" s="10" t="s">
        <v>73</v>
      </c>
      <c r="BH123" s="10" t="s">
        <v>73</v>
      </c>
      <c r="BI123" s="10">
        <v>6445</v>
      </c>
      <c r="BJ123" s="10">
        <v>6445</v>
      </c>
      <c r="BK123" s="10" t="s">
        <v>73</v>
      </c>
      <c r="BL123" s="10" t="s">
        <v>73</v>
      </c>
      <c r="BM123" s="115">
        <v>4000</v>
      </c>
      <c r="BN123" s="115" t="s">
        <v>73</v>
      </c>
      <c r="BO123" s="115" t="s">
        <v>73</v>
      </c>
      <c r="BP123" s="115" t="s">
        <v>73</v>
      </c>
      <c r="BQ123" s="10" t="s">
        <v>73</v>
      </c>
      <c r="BR123" s="10" t="s">
        <v>73</v>
      </c>
      <c r="BS123" s="115" t="s">
        <v>73</v>
      </c>
      <c r="BT123" s="115" t="s">
        <v>73</v>
      </c>
      <c r="BU123" s="115">
        <v>1</v>
      </c>
      <c r="BV123" s="10">
        <v>0</v>
      </c>
      <c r="BW123" s="10">
        <v>0</v>
      </c>
      <c r="BX123" s="30">
        <f t="shared" si="44"/>
        <v>3.2078253247327888E-2</v>
      </c>
      <c r="BY123" s="30">
        <f t="shared" si="40"/>
        <v>3.2089263039774128E-2</v>
      </c>
      <c r="BZ123" s="30">
        <f t="shared" si="41"/>
        <v>1.5518295153244398E-4</v>
      </c>
      <c r="CA123" s="30">
        <f t="shared" si="42"/>
        <v>1.552312946289972E-4</v>
      </c>
      <c r="CB123" s="95" t="s">
        <v>73</v>
      </c>
      <c r="CC123">
        <f t="shared" si="45"/>
        <v>6444</v>
      </c>
      <c r="CD123" s="95" t="s">
        <v>73</v>
      </c>
    </row>
    <row r="124" spans="1:82" ht="16">
      <c r="A124" s="115" t="s">
        <v>327</v>
      </c>
      <c r="B124" s="115">
        <v>23</v>
      </c>
      <c r="C124" s="95">
        <v>1228</v>
      </c>
      <c r="D124" s="115">
        <v>301</v>
      </c>
      <c r="E124" s="10" t="s">
        <v>550</v>
      </c>
      <c r="F124" s="115">
        <v>2019</v>
      </c>
      <c r="G124" t="s">
        <v>551</v>
      </c>
      <c r="H124" t="s">
        <v>552</v>
      </c>
      <c r="I124" s="10">
        <v>2</v>
      </c>
      <c r="J124" t="s">
        <v>553</v>
      </c>
      <c r="K124" s="115" t="s">
        <v>73</v>
      </c>
      <c r="L124" s="10">
        <v>163</v>
      </c>
      <c r="M124" t="s">
        <v>267</v>
      </c>
      <c r="N124" t="s">
        <v>112</v>
      </c>
      <c r="O124" s="10" t="s">
        <v>124</v>
      </c>
      <c r="P124" s="10" t="s">
        <v>221</v>
      </c>
      <c r="Q124" t="s">
        <v>242</v>
      </c>
      <c r="R124" s="10" t="s">
        <v>243</v>
      </c>
      <c r="S124">
        <v>0</v>
      </c>
      <c r="T124" s="10" t="s">
        <v>224</v>
      </c>
      <c r="U124">
        <v>0</v>
      </c>
      <c r="V124" s="10" t="s">
        <v>252</v>
      </c>
      <c r="W124" s="10" t="s">
        <v>252</v>
      </c>
      <c r="X124" s="10" t="s">
        <v>554</v>
      </c>
      <c r="Y124" s="10">
        <v>0</v>
      </c>
      <c r="Z124" s="10">
        <v>0</v>
      </c>
      <c r="AA124" s="10">
        <v>0</v>
      </c>
      <c r="AB124" s="10">
        <v>1</v>
      </c>
      <c r="AC124" s="10">
        <v>0</v>
      </c>
      <c r="AD124" s="10">
        <v>0</v>
      </c>
      <c r="AE124" s="115">
        <v>0</v>
      </c>
      <c r="AF124" s="115">
        <v>0</v>
      </c>
      <c r="AG124" s="10" t="s">
        <v>555</v>
      </c>
      <c r="AH124" s="10">
        <v>0</v>
      </c>
      <c r="AI124" s="10">
        <v>0</v>
      </c>
      <c r="AJ124" s="10">
        <v>0</v>
      </c>
      <c r="AK124" s="10">
        <v>0</v>
      </c>
      <c r="AL124" s="10">
        <v>0</v>
      </c>
      <c r="AM124" s="10">
        <v>0</v>
      </c>
      <c r="AN124" s="10">
        <v>0</v>
      </c>
      <c r="AO124" s="10">
        <v>1</v>
      </c>
      <c r="AP124" s="10">
        <v>0</v>
      </c>
      <c r="AQ124" s="159" t="s">
        <v>73</v>
      </c>
      <c r="AR124" t="s">
        <v>227</v>
      </c>
      <c r="AS124" t="s">
        <v>556</v>
      </c>
      <c r="AT124" s="10" t="s">
        <v>229</v>
      </c>
      <c r="AU124" s="138" t="s">
        <v>73</v>
      </c>
      <c r="AV124" s="7" t="s">
        <v>80</v>
      </c>
      <c r="AW124" s="10" t="s">
        <v>73</v>
      </c>
      <c r="AX124">
        <v>0.01</v>
      </c>
      <c r="AY124">
        <v>1</v>
      </c>
      <c r="AZ124">
        <f t="shared" si="43"/>
        <v>2.5765924815279417</v>
      </c>
      <c r="BA124" s="200">
        <v>2E-3</v>
      </c>
      <c r="BB124" s="200">
        <v>2E-3</v>
      </c>
      <c r="BC124" s="10" t="s">
        <v>73</v>
      </c>
      <c r="BD124" s="10" t="s">
        <v>73</v>
      </c>
      <c r="BE124" s="10" t="s">
        <v>73</v>
      </c>
      <c r="BF124" s="10" t="s">
        <v>73</v>
      </c>
      <c r="BG124" s="10" t="s">
        <v>73</v>
      </c>
      <c r="BH124" s="10" t="s">
        <v>73</v>
      </c>
      <c r="BI124" s="10">
        <v>6445</v>
      </c>
      <c r="BJ124" s="10">
        <v>6445</v>
      </c>
      <c r="BK124" s="10" t="s">
        <v>73</v>
      </c>
      <c r="BL124" s="10" t="s">
        <v>73</v>
      </c>
      <c r="BM124" s="115">
        <v>4000</v>
      </c>
      <c r="BN124" s="115" t="s">
        <v>73</v>
      </c>
      <c r="BO124" s="115" t="s">
        <v>73</v>
      </c>
      <c r="BP124" s="115" t="s">
        <v>73</v>
      </c>
      <c r="BQ124" s="10" t="s">
        <v>73</v>
      </c>
      <c r="BR124" s="10" t="s">
        <v>73</v>
      </c>
      <c r="BS124" s="115" t="s">
        <v>73</v>
      </c>
      <c r="BT124" s="115" t="s">
        <v>73</v>
      </c>
      <c r="BU124" s="115">
        <v>1</v>
      </c>
      <c r="BV124" s="10">
        <v>0</v>
      </c>
      <c r="BW124" s="10">
        <v>0</v>
      </c>
      <c r="BX124" s="30">
        <f t="shared" si="44"/>
        <v>3.2078253247327888E-2</v>
      </c>
      <c r="BY124" s="30">
        <f t="shared" si="40"/>
        <v>3.2089263039774128E-2</v>
      </c>
      <c r="BZ124" s="30">
        <f t="shared" si="41"/>
        <v>1.5518295153244398E-4</v>
      </c>
      <c r="CA124" s="30">
        <f t="shared" si="42"/>
        <v>1.552312946289972E-4</v>
      </c>
      <c r="CB124" s="95" t="s">
        <v>73</v>
      </c>
      <c r="CC124">
        <f t="shared" si="45"/>
        <v>6444</v>
      </c>
      <c r="CD124" s="95" t="s">
        <v>73</v>
      </c>
    </row>
    <row r="125" spans="1:82" ht="16">
      <c r="A125" s="11" t="s">
        <v>68</v>
      </c>
      <c r="B125" s="11">
        <v>24</v>
      </c>
      <c r="C125" s="11">
        <v>1061</v>
      </c>
      <c r="D125">
        <v>111</v>
      </c>
      <c r="E125" t="s">
        <v>283</v>
      </c>
      <c r="F125" s="11">
        <v>1998</v>
      </c>
      <c r="G125" t="s">
        <v>284</v>
      </c>
      <c r="H125" t="s">
        <v>285</v>
      </c>
      <c r="I125">
        <v>2</v>
      </c>
      <c r="J125">
        <v>1998</v>
      </c>
      <c r="K125" s="10" t="s">
        <v>73</v>
      </c>
      <c r="L125">
        <v>651</v>
      </c>
      <c r="M125" t="s">
        <v>155</v>
      </c>
      <c r="N125" t="s">
        <v>259</v>
      </c>
      <c r="O125" t="s">
        <v>81</v>
      </c>
      <c r="P125" s="18" t="s">
        <v>269</v>
      </c>
      <c r="Q125" t="s">
        <v>236</v>
      </c>
      <c r="R125" t="s">
        <v>243</v>
      </c>
      <c r="S125">
        <v>1</v>
      </c>
      <c r="T125" t="s">
        <v>224</v>
      </c>
      <c r="U125">
        <v>0</v>
      </c>
      <c r="V125" s="18" t="s">
        <v>225</v>
      </c>
      <c r="W125" s="18" t="s">
        <v>225</v>
      </c>
      <c r="X125" s="18" t="s">
        <v>73</v>
      </c>
      <c r="Y125">
        <v>0</v>
      </c>
      <c r="Z125">
        <v>0</v>
      </c>
      <c r="AA125">
        <v>0</v>
      </c>
      <c r="AB125">
        <v>0</v>
      </c>
      <c r="AC125">
        <v>0</v>
      </c>
      <c r="AD125">
        <v>0</v>
      </c>
      <c r="AE125">
        <v>1</v>
      </c>
      <c r="AF125">
        <v>0</v>
      </c>
      <c r="AG125" t="s">
        <v>73</v>
      </c>
      <c r="AH125">
        <v>0</v>
      </c>
      <c r="AI125">
        <v>0</v>
      </c>
      <c r="AJ125">
        <v>0</v>
      </c>
      <c r="AK125">
        <v>1</v>
      </c>
      <c r="AL125" s="32">
        <v>0</v>
      </c>
      <c r="AM125" s="32">
        <v>0</v>
      </c>
      <c r="AN125" s="32">
        <v>0</v>
      </c>
      <c r="AO125" s="32">
        <v>0</v>
      </c>
      <c r="AP125" s="32">
        <v>0</v>
      </c>
      <c r="AQ125" t="s">
        <v>286</v>
      </c>
      <c r="AR125" s="95" t="s">
        <v>227</v>
      </c>
      <c r="AS125" s="95" t="s">
        <v>287</v>
      </c>
      <c r="AT125" s="95" t="s">
        <v>229</v>
      </c>
      <c r="AU125" s="21">
        <v>1.7500000000000002E-2</v>
      </c>
      <c r="AV125" s="7" t="s">
        <v>86</v>
      </c>
      <c r="AW125">
        <v>0.26400000000000001</v>
      </c>
      <c r="AX125" t="s">
        <v>73</v>
      </c>
      <c r="AY125">
        <v>3</v>
      </c>
      <c r="AZ125">
        <f t="shared" ref="AZ125:AZ136" si="46">AU125/AW125</f>
        <v>6.6287878787878785E-2</v>
      </c>
      <c r="BA125" s="198">
        <f t="shared" ref="BA125:BA136" si="47">EXP(AU125)-1</f>
        <v>1.7654022150761728E-2</v>
      </c>
      <c r="BB125" s="112">
        <f t="shared" ref="BB125:BB136" si="48">EXP(AU125)/(1+EXP(AU125))</f>
        <v>0.50437488834977351</v>
      </c>
      <c r="BC125" t="s">
        <v>73</v>
      </c>
      <c r="BD125" t="s">
        <v>73</v>
      </c>
      <c r="BE125" t="s">
        <v>73</v>
      </c>
      <c r="BF125" t="s">
        <v>73</v>
      </c>
      <c r="BG125" t="s">
        <v>73</v>
      </c>
      <c r="BH125" t="s">
        <v>73</v>
      </c>
      <c r="BI125">
        <v>375</v>
      </c>
      <c r="BJ125">
        <v>6081</v>
      </c>
      <c r="BK125" t="s">
        <v>73</v>
      </c>
      <c r="BL125" t="s">
        <v>73</v>
      </c>
      <c r="BM125" t="s">
        <v>73</v>
      </c>
      <c r="BN125" t="s">
        <v>73</v>
      </c>
      <c r="BO125" t="s">
        <v>73</v>
      </c>
      <c r="BP125" t="s">
        <v>73</v>
      </c>
      <c r="BQ125" t="s">
        <v>73</v>
      </c>
      <c r="BR125" t="s">
        <v>73</v>
      </c>
      <c r="BS125" t="s">
        <v>73</v>
      </c>
      <c r="BT125" t="s">
        <v>73</v>
      </c>
      <c r="BU125">
        <v>0</v>
      </c>
      <c r="BV125">
        <v>0</v>
      </c>
      <c r="BW125">
        <v>0</v>
      </c>
      <c r="BX125" s="30">
        <f t="shared" si="44"/>
        <v>3.4230712863917989E-3</v>
      </c>
      <c r="BY125" s="30">
        <f t="shared" si="40"/>
        <v>3.4230846563371624E-3</v>
      </c>
      <c r="BZ125" s="30">
        <f t="shared" si="41"/>
        <v>2.673796791076738E-3</v>
      </c>
      <c r="CA125" s="30">
        <f t="shared" si="42"/>
        <v>2.6881720430107529E-3</v>
      </c>
      <c r="CB125" s="95" t="s">
        <v>73</v>
      </c>
      <c r="CC125">
        <f t="shared" ref="CC125:CC134" si="49">BI125-2</f>
        <v>373</v>
      </c>
      <c r="CD125" s="95" t="s">
        <v>73</v>
      </c>
    </row>
    <row r="126" spans="1:82" ht="16">
      <c r="A126" s="11" t="s">
        <v>68</v>
      </c>
      <c r="B126" s="11">
        <v>24</v>
      </c>
      <c r="C126" s="11">
        <v>1062</v>
      </c>
      <c r="D126">
        <v>111</v>
      </c>
      <c r="E126" t="s">
        <v>283</v>
      </c>
      <c r="F126" s="11">
        <v>1998</v>
      </c>
      <c r="G126" t="s">
        <v>284</v>
      </c>
      <c r="H126" t="s">
        <v>285</v>
      </c>
      <c r="I126">
        <v>2</v>
      </c>
      <c r="J126">
        <v>1998</v>
      </c>
      <c r="K126" s="10" t="s">
        <v>73</v>
      </c>
      <c r="L126">
        <v>651</v>
      </c>
      <c r="M126" t="s">
        <v>308</v>
      </c>
      <c r="N126" t="s">
        <v>259</v>
      </c>
      <c r="O126" t="s">
        <v>81</v>
      </c>
      <c r="P126" s="18" t="s">
        <v>269</v>
      </c>
      <c r="Q126" t="s">
        <v>236</v>
      </c>
      <c r="R126" t="s">
        <v>243</v>
      </c>
      <c r="S126">
        <v>1</v>
      </c>
      <c r="T126" t="s">
        <v>224</v>
      </c>
      <c r="U126">
        <v>0</v>
      </c>
      <c r="V126" s="18" t="s">
        <v>225</v>
      </c>
      <c r="W126" s="18" t="s">
        <v>225</v>
      </c>
      <c r="X126" s="18" t="s">
        <v>73</v>
      </c>
      <c r="Y126">
        <v>0</v>
      </c>
      <c r="Z126">
        <v>0</v>
      </c>
      <c r="AA126">
        <v>0</v>
      </c>
      <c r="AB126">
        <v>1</v>
      </c>
      <c r="AC126">
        <v>0</v>
      </c>
      <c r="AD126">
        <v>0</v>
      </c>
      <c r="AE126">
        <v>0</v>
      </c>
      <c r="AF126">
        <v>0</v>
      </c>
      <c r="AG126" t="s">
        <v>73</v>
      </c>
      <c r="AH126">
        <v>0</v>
      </c>
      <c r="AI126">
        <v>0</v>
      </c>
      <c r="AJ126">
        <v>0</v>
      </c>
      <c r="AK126">
        <v>1</v>
      </c>
      <c r="AL126" s="32">
        <v>0</v>
      </c>
      <c r="AM126" s="32">
        <v>0</v>
      </c>
      <c r="AN126" s="32">
        <v>0</v>
      </c>
      <c r="AO126" s="32">
        <v>0</v>
      </c>
      <c r="AP126" s="32">
        <v>0</v>
      </c>
      <c r="AQ126" t="s">
        <v>286</v>
      </c>
      <c r="AR126" s="95" t="s">
        <v>227</v>
      </c>
      <c r="AS126" s="95" t="s">
        <v>287</v>
      </c>
      <c r="AT126" s="95" t="s">
        <v>229</v>
      </c>
      <c r="AU126" s="21">
        <v>2.1999999999999999E-2</v>
      </c>
      <c r="AV126" s="7" t="s">
        <v>80</v>
      </c>
      <c r="AW126">
        <v>0.21199999999999999</v>
      </c>
      <c r="AX126" t="s">
        <v>73</v>
      </c>
      <c r="AY126">
        <v>3</v>
      </c>
      <c r="AZ126">
        <f t="shared" si="46"/>
        <v>0.10377358490566037</v>
      </c>
      <c r="BA126" s="198">
        <f t="shared" si="47"/>
        <v>2.2243784470438177E-2</v>
      </c>
      <c r="BB126" s="112">
        <f t="shared" si="48"/>
        <v>0.50549977817740277</v>
      </c>
      <c r="BC126" t="s">
        <v>73</v>
      </c>
      <c r="BD126" t="s">
        <v>73</v>
      </c>
      <c r="BE126" t="s">
        <v>73</v>
      </c>
      <c r="BF126" t="s">
        <v>73</v>
      </c>
      <c r="BG126" t="s">
        <v>73</v>
      </c>
      <c r="BH126" t="s">
        <v>73</v>
      </c>
      <c r="BI126">
        <v>375</v>
      </c>
      <c r="BJ126">
        <v>6081</v>
      </c>
      <c r="BK126" t="s">
        <v>73</v>
      </c>
      <c r="BL126" t="s">
        <v>73</v>
      </c>
      <c r="BM126" t="s">
        <v>73</v>
      </c>
      <c r="BN126" t="s">
        <v>73</v>
      </c>
      <c r="BO126" t="s">
        <v>73</v>
      </c>
      <c r="BP126" t="s">
        <v>73</v>
      </c>
      <c r="BQ126" t="s">
        <v>73</v>
      </c>
      <c r="BR126" t="s">
        <v>73</v>
      </c>
      <c r="BS126" t="s">
        <v>73</v>
      </c>
      <c r="BT126" t="s">
        <v>73</v>
      </c>
      <c r="BU126">
        <v>0</v>
      </c>
      <c r="BV126">
        <v>0</v>
      </c>
      <c r="BW126">
        <v>0</v>
      </c>
      <c r="BX126" s="30">
        <f t="shared" si="44"/>
        <v>5.3587679376424701E-3</v>
      </c>
      <c r="BY126" s="30">
        <f t="shared" si="40"/>
        <v>5.3588192333564287E-3</v>
      </c>
      <c r="BZ126" s="30">
        <f t="shared" si="41"/>
        <v>2.6737967892388691E-3</v>
      </c>
      <c r="CA126" s="30">
        <f t="shared" si="42"/>
        <v>2.6881720430107529E-3</v>
      </c>
      <c r="CB126" s="95" t="s">
        <v>73</v>
      </c>
      <c r="CC126">
        <f t="shared" si="49"/>
        <v>373</v>
      </c>
      <c r="CD126" s="95" t="s">
        <v>73</v>
      </c>
    </row>
    <row r="127" spans="1:82" ht="16">
      <c r="A127" s="11" t="s">
        <v>68</v>
      </c>
      <c r="B127" s="11">
        <v>24</v>
      </c>
      <c r="C127" s="11">
        <v>1064</v>
      </c>
      <c r="D127">
        <v>111</v>
      </c>
      <c r="E127" t="s">
        <v>283</v>
      </c>
      <c r="F127" s="11">
        <v>1998</v>
      </c>
      <c r="G127" t="s">
        <v>284</v>
      </c>
      <c r="H127" t="s">
        <v>285</v>
      </c>
      <c r="I127">
        <v>2</v>
      </c>
      <c r="J127">
        <v>1998</v>
      </c>
      <c r="K127" s="10" t="s">
        <v>73</v>
      </c>
      <c r="L127">
        <v>652</v>
      </c>
      <c r="M127" t="s">
        <v>308</v>
      </c>
      <c r="N127" t="s">
        <v>259</v>
      </c>
      <c r="O127" t="s">
        <v>81</v>
      </c>
      <c r="P127" s="18" t="s">
        <v>269</v>
      </c>
      <c r="Q127" t="s">
        <v>236</v>
      </c>
      <c r="R127" t="s">
        <v>243</v>
      </c>
      <c r="S127">
        <v>1</v>
      </c>
      <c r="T127" t="s">
        <v>224</v>
      </c>
      <c r="U127">
        <v>0</v>
      </c>
      <c r="V127" s="18" t="s">
        <v>225</v>
      </c>
      <c r="W127" s="18" t="s">
        <v>225</v>
      </c>
      <c r="X127" s="18" t="s">
        <v>73</v>
      </c>
      <c r="Y127">
        <v>0</v>
      </c>
      <c r="Z127">
        <v>0</v>
      </c>
      <c r="AA127">
        <v>0</v>
      </c>
      <c r="AB127">
        <v>1</v>
      </c>
      <c r="AC127">
        <v>0</v>
      </c>
      <c r="AD127">
        <v>0</v>
      </c>
      <c r="AE127">
        <v>0</v>
      </c>
      <c r="AF127">
        <v>0</v>
      </c>
      <c r="AG127" t="s">
        <v>73</v>
      </c>
      <c r="AH127">
        <v>0</v>
      </c>
      <c r="AI127">
        <v>0</v>
      </c>
      <c r="AJ127">
        <v>0</v>
      </c>
      <c r="AK127">
        <v>1</v>
      </c>
      <c r="AL127" s="32">
        <v>0</v>
      </c>
      <c r="AM127" s="32">
        <v>0</v>
      </c>
      <c r="AN127" s="32">
        <v>0</v>
      </c>
      <c r="AO127" s="32">
        <v>0</v>
      </c>
      <c r="AP127" s="32">
        <v>0</v>
      </c>
      <c r="AQ127" t="s">
        <v>286</v>
      </c>
      <c r="AR127" s="95" t="s">
        <v>227</v>
      </c>
      <c r="AS127" s="95" t="s">
        <v>287</v>
      </c>
      <c r="AT127" s="95" t="s">
        <v>229</v>
      </c>
      <c r="AU127" s="21">
        <v>0.14599999999999999</v>
      </c>
      <c r="AV127" s="7" t="s">
        <v>86</v>
      </c>
      <c r="AW127">
        <v>0.188</v>
      </c>
      <c r="AX127" t="s">
        <v>73</v>
      </c>
      <c r="AY127">
        <v>3</v>
      </c>
      <c r="AZ127">
        <f t="shared" si="46"/>
        <v>0.77659574468085102</v>
      </c>
      <c r="BA127" s="198">
        <f t="shared" si="47"/>
        <v>0.15719618805079616</v>
      </c>
      <c r="BB127" s="112">
        <f t="shared" si="48"/>
        <v>0.53643530174064413</v>
      </c>
      <c r="BC127" t="s">
        <v>73</v>
      </c>
      <c r="BD127" t="s">
        <v>73</v>
      </c>
      <c r="BE127" t="s">
        <v>73</v>
      </c>
      <c r="BF127" t="s">
        <v>73</v>
      </c>
      <c r="BG127" t="s">
        <v>73</v>
      </c>
      <c r="BH127" t="s">
        <v>73</v>
      </c>
      <c r="BI127">
        <v>375</v>
      </c>
      <c r="BJ127">
        <v>6081</v>
      </c>
      <c r="BK127" t="s">
        <v>73</v>
      </c>
      <c r="BL127" t="s">
        <v>73</v>
      </c>
      <c r="BM127" t="s">
        <v>73</v>
      </c>
      <c r="BN127" t="s">
        <v>73</v>
      </c>
      <c r="BO127" t="s">
        <v>73</v>
      </c>
      <c r="BP127" t="s">
        <v>73</v>
      </c>
      <c r="BQ127" t="s">
        <v>73</v>
      </c>
      <c r="BR127" t="s">
        <v>73</v>
      </c>
      <c r="BS127" t="s">
        <v>73</v>
      </c>
      <c r="BT127" t="s">
        <v>73</v>
      </c>
      <c r="BU127">
        <v>0</v>
      </c>
      <c r="BV127">
        <v>0</v>
      </c>
      <c r="BW127">
        <v>1</v>
      </c>
      <c r="BX127" s="30">
        <f t="shared" si="44"/>
        <v>4.0071022261504372E-2</v>
      </c>
      <c r="BY127" s="30">
        <f t="shared" si="40"/>
        <v>4.0092490118533643E-2</v>
      </c>
      <c r="BZ127" s="30">
        <f t="shared" si="41"/>
        <v>2.6737898829954023E-3</v>
      </c>
      <c r="CA127" s="30">
        <f t="shared" si="42"/>
        <v>2.6881720430107529E-3</v>
      </c>
      <c r="CB127" s="95" t="s">
        <v>73</v>
      </c>
      <c r="CC127">
        <f t="shared" si="49"/>
        <v>373</v>
      </c>
      <c r="CD127" s="95" t="s">
        <v>73</v>
      </c>
    </row>
    <row r="128" spans="1:82" ht="16">
      <c r="A128" s="11" t="s">
        <v>68</v>
      </c>
      <c r="B128" s="11">
        <v>24</v>
      </c>
      <c r="C128" s="11">
        <v>1063</v>
      </c>
      <c r="D128">
        <v>111</v>
      </c>
      <c r="E128" t="s">
        <v>283</v>
      </c>
      <c r="F128" s="11">
        <v>1998</v>
      </c>
      <c r="G128" t="s">
        <v>284</v>
      </c>
      <c r="H128" t="s">
        <v>285</v>
      </c>
      <c r="I128">
        <v>2</v>
      </c>
      <c r="J128">
        <v>1998</v>
      </c>
      <c r="K128" s="10" t="s">
        <v>73</v>
      </c>
      <c r="L128">
        <v>651</v>
      </c>
      <c r="M128" t="s">
        <v>308</v>
      </c>
      <c r="N128" t="s">
        <v>259</v>
      </c>
      <c r="O128" t="s">
        <v>81</v>
      </c>
      <c r="P128" s="18" t="s">
        <v>269</v>
      </c>
      <c r="Q128" t="s">
        <v>236</v>
      </c>
      <c r="R128" t="s">
        <v>243</v>
      </c>
      <c r="S128">
        <v>1</v>
      </c>
      <c r="T128" t="s">
        <v>224</v>
      </c>
      <c r="U128">
        <v>0</v>
      </c>
      <c r="V128" s="18" t="s">
        <v>225</v>
      </c>
      <c r="W128" s="18" t="s">
        <v>225</v>
      </c>
      <c r="X128" s="18" t="s">
        <v>73</v>
      </c>
      <c r="Y128">
        <v>0</v>
      </c>
      <c r="Z128">
        <v>0</v>
      </c>
      <c r="AA128">
        <v>0</v>
      </c>
      <c r="AB128">
        <v>0</v>
      </c>
      <c r="AC128">
        <v>0</v>
      </c>
      <c r="AD128">
        <v>0</v>
      </c>
      <c r="AE128">
        <v>1</v>
      </c>
      <c r="AF128">
        <v>0</v>
      </c>
      <c r="AG128" t="s">
        <v>73</v>
      </c>
      <c r="AH128">
        <v>0</v>
      </c>
      <c r="AI128">
        <v>0</v>
      </c>
      <c r="AJ128">
        <v>0</v>
      </c>
      <c r="AK128">
        <v>1</v>
      </c>
      <c r="AL128" s="32">
        <v>0</v>
      </c>
      <c r="AM128" s="32">
        <v>0</v>
      </c>
      <c r="AN128" s="32">
        <v>0</v>
      </c>
      <c r="AO128" s="32">
        <v>0</v>
      </c>
      <c r="AP128" s="32">
        <v>0</v>
      </c>
      <c r="AQ128" t="s">
        <v>286</v>
      </c>
      <c r="AR128" s="95" t="s">
        <v>227</v>
      </c>
      <c r="AS128" s="95" t="s">
        <v>287</v>
      </c>
      <c r="AT128" s="95" t="s">
        <v>229</v>
      </c>
      <c r="AU128" s="21">
        <v>0.156</v>
      </c>
      <c r="AV128" s="7" t="s">
        <v>80</v>
      </c>
      <c r="AW128">
        <v>0.621</v>
      </c>
      <c r="AX128" t="s">
        <v>73</v>
      </c>
      <c r="AY128">
        <v>3</v>
      </c>
      <c r="AZ128">
        <f t="shared" si="46"/>
        <v>0.25120772946859904</v>
      </c>
      <c r="BA128" s="198">
        <f t="shared" si="47"/>
        <v>0.16882620308986906</v>
      </c>
      <c r="BB128" s="112">
        <f t="shared" si="48"/>
        <v>0.53892110000546534</v>
      </c>
      <c r="BC128" t="s">
        <v>73</v>
      </c>
      <c r="BD128" t="s">
        <v>73</v>
      </c>
      <c r="BE128" t="s">
        <v>73</v>
      </c>
      <c r="BF128" t="s">
        <v>73</v>
      </c>
      <c r="BG128" t="s">
        <v>73</v>
      </c>
      <c r="BH128" t="s">
        <v>73</v>
      </c>
      <c r="BI128">
        <v>375</v>
      </c>
      <c r="BJ128">
        <v>6081</v>
      </c>
      <c r="BK128" t="s">
        <v>73</v>
      </c>
      <c r="BL128" t="s">
        <v>73</v>
      </c>
      <c r="BM128" t="s">
        <v>73</v>
      </c>
      <c r="BN128" t="s">
        <v>73</v>
      </c>
      <c r="BO128" t="s">
        <v>73</v>
      </c>
      <c r="BP128" t="s">
        <v>73</v>
      </c>
      <c r="BQ128" t="s">
        <v>73</v>
      </c>
      <c r="BR128" t="s">
        <v>73</v>
      </c>
      <c r="BS128" t="s">
        <v>73</v>
      </c>
      <c r="BT128" t="s">
        <v>73</v>
      </c>
      <c r="BU128">
        <v>0</v>
      </c>
      <c r="BV128">
        <v>0</v>
      </c>
      <c r="BW128">
        <v>0</v>
      </c>
      <c r="BX128" s="30">
        <f t="shared" si="44"/>
        <v>1.2971220010807293E-2</v>
      </c>
      <c r="BY128" s="30">
        <f t="shared" si="40"/>
        <v>1.2971947564531299E-2</v>
      </c>
      <c r="BZ128" s="30">
        <f t="shared" si="41"/>
        <v>2.6737967157345667E-3</v>
      </c>
      <c r="CA128" s="30">
        <f t="shared" si="42"/>
        <v>2.6881720430107529E-3</v>
      </c>
      <c r="CB128" s="95" t="s">
        <v>73</v>
      </c>
      <c r="CC128">
        <f t="shared" si="49"/>
        <v>373</v>
      </c>
      <c r="CD128" s="95" t="s">
        <v>73</v>
      </c>
    </row>
    <row r="129" spans="1:82" ht="16">
      <c r="A129" s="11" t="s">
        <v>68</v>
      </c>
      <c r="B129" s="11">
        <v>24</v>
      </c>
      <c r="C129" s="11">
        <v>1067</v>
      </c>
      <c r="D129">
        <v>111</v>
      </c>
      <c r="E129" t="s">
        <v>283</v>
      </c>
      <c r="F129" s="11">
        <v>1998</v>
      </c>
      <c r="G129" t="s">
        <v>284</v>
      </c>
      <c r="H129" t="s">
        <v>285</v>
      </c>
      <c r="I129">
        <v>2</v>
      </c>
      <c r="J129">
        <v>1998</v>
      </c>
      <c r="K129" s="10" t="s">
        <v>73</v>
      </c>
      <c r="L129">
        <v>654</v>
      </c>
      <c r="M129" t="s">
        <v>308</v>
      </c>
      <c r="N129" t="s">
        <v>259</v>
      </c>
      <c r="O129" t="s">
        <v>81</v>
      </c>
      <c r="P129" s="18" t="s">
        <v>269</v>
      </c>
      <c r="Q129" t="s">
        <v>236</v>
      </c>
      <c r="R129" t="s">
        <v>243</v>
      </c>
      <c r="S129">
        <v>1</v>
      </c>
      <c r="T129" t="s">
        <v>224</v>
      </c>
      <c r="U129">
        <v>0</v>
      </c>
      <c r="V129" s="18" t="s">
        <v>225</v>
      </c>
      <c r="W129" s="18" t="s">
        <v>225</v>
      </c>
      <c r="X129" s="18" t="s">
        <v>73</v>
      </c>
      <c r="Y129">
        <v>0</v>
      </c>
      <c r="Z129">
        <v>0</v>
      </c>
      <c r="AA129">
        <v>0</v>
      </c>
      <c r="AB129">
        <v>0</v>
      </c>
      <c r="AC129">
        <v>0</v>
      </c>
      <c r="AD129">
        <v>0</v>
      </c>
      <c r="AE129">
        <v>1</v>
      </c>
      <c r="AF129">
        <v>0</v>
      </c>
      <c r="AG129" t="s">
        <v>73</v>
      </c>
      <c r="AH129">
        <v>0</v>
      </c>
      <c r="AI129">
        <v>0</v>
      </c>
      <c r="AJ129">
        <v>0</v>
      </c>
      <c r="AK129">
        <v>1</v>
      </c>
      <c r="AL129" s="32">
        <v>0</v>
      </c>
      <c r="AM129" s="32">
        <v>0</v>
      </c>
      <c r="AN129" s="32">
        <v>0</v>
      </c>
      <c r="AO129" s="32">
        <v>0</v>
      </c>
      <c r="AP129" s="32">
        <v>0</v>
      </c>
      <c r="AQ129" t="s">
        <v>286</v>
      </c>
      <c r="AR129" s="95" t="s">
        <v>227</v>
      </c>
      <c r="AS129" s="95" t="s">
        <v>287</v>
      </c>
      <c r="AT129" s="95" t="s">
        <v>229</v>
      </c>
      <c r="AU129" s="21">
        <v>0.191</v>
      </c>
      <c r="AV129" s="7" t="s">
        <v>86</v>
      </c>
      <c r="AW129">
        <v>0.53300000000000003</v>
      </c>
      <c r="AX129" t="s">
        <v>73</v>
      </c>
      <c r="AY129">
        <v>3</v>
      </c>
      <c r="AZ129">
        <f t="shared" si="46"/>
        <v>0.35834896810506567</v>
      </c>
      <c r="BA129" s="198">
        <f t="shared" si="47"/>
        <v>0.21045945208129946</v>
      </c>
      <c r="BB129" s="112">
        <f t="shared" si="48"/>
        <v>0.54760536364581069</v>
      </c>
      <c r="BC129" t="s">
        <v>73</v>
      </c>
      <c r="BD129" t="s">
        <v>73</v>
      </c>
      <c r="BE129" t="s">
        <v>73</v>
      </c>
      <c r="BF129" t="s">
        <v>73</v>
      </c>
      <c r="BG129" t="s">
        <v>73</v>
      </c>
      <c r="BH129" t="s">
        <v>73</v>
      </c>
      <c r="BI129">
        <v>375</v>
      </c>
      <c r="BJ129">
        <v>6081</v>
      </c>
      <c r="BK129" t="s">
        <v>73</v>
      </c>
      <c r="BL129" t="s">
        <v>73</v>
      </c>
      <c r="BM129" t="s">
        <v>73</v>
      </c>
      <c r="BN129" t="s">
        <v>73</v>
      </c>
      <c r="BO129" t="s">
        <v>73</v>
      </c>
      <c r="BP129" t="s">
        <v>73</v>
      </c>
      <c r="BQ129" t="s">
        <v>73</v>
      </c>
      <c r="BR129" t="s">
        <v>73</v>
      </c>
      <c r="BS129" t="s">
        <v>73</v>
      </c>
      <c r="BT129" t="s">
        <v>73</v>
      </c>
      <c r="BU129">
        <v>0</v>
      </c>
      <c r="BV129">
        <v>0</v>
      </c>
      <c r="BW129">
        <v>1</v>
      </c>
      <c r="BX129" s="30">
        <f t="shared" si="44"/>
        <v>1.8501893543383965E-2</v>
      </c>
      <c r="BY129" s="30">
        <f t="shared" si="40"/>
        <v>1.8504005166909823E-2</v>
      </c>
      <c r="BZ129" s="30">
        <f t="shared" si="41"/>
        <v>2.6737964779771865E-3</v>
      </c>
      <c r="CA129" s="30">
        <f t="shared" si="42"/>
        <v>2.6881720430107529E-3</v>
      </c>
      <c r="CB129" s="95" t="s">
        <v>73</v>
      </c>
      <c r="CC129">
        <f t="shared" si="49"/>
        <v>373</v>
      </c>
      <c r="CD129" s="95" t="s">
        <v>73</v>
      </c>
    </row>
    <row r="130" spans="1:82" ht="16">
      <c r="A130" s="11" t="s">
        <v>68</v>
      </c>
      <c r="B130" s="11">
        <v>24</v>
      </c>
      <c r="C130" s="11">
        <v>1066</v>
      </c>
      <c r="D130">
        <v>111</v>
      </c>
      <c r="E130" t="s">
        <v>283</v>
      </c>
      <c r="F130" s="11">
        <v>1998</v>
      </c>
      <c r="G130" t="s">
        <v>284</v>
      </c>
      <c r="H130" t="s">
        <v>285</v>
      </c>
      <c r="I130">
        <v>2</v>
      </c>
      <c r="J130">
        <v>1998</v>
      </c>
      <c r="K130" s="10" t="s">
        <v>73</v>
      </c>
      <c r="L130">
        <v>654</v>
      </c>
      <c r="M130" t="s">
        <v>308</v>
      </c>
      <c r="N130" t="s">
        <v>259</v>
      </c>
      <c r="O130" t="s">
        <v>81</v>
      </c>
      <c r="P130" s="18" t="s">
        <v>269</v>
      </c>
      <c r="Q130" t="s">
        <v>236</v>
      </c>
      <c r="R130" t="s">
        <v>243</v>
      </c>
      <c r="S130">
        <v>1</v>
      </c>
      <c r="T130" t="s">
        <v>224</v>
      </c>
      <c r="U130">
        <v>0</v>
      </c>
      <c r="V130" s="18" t="s">
        <v>225</v>
      </c>
      <c r="W130" s="18" t="s">
        <v>225</v>
      </c>
      <c r="X130" s="18" t="s">
        <v>73</v>
      </c>
      <c r="Y130">
        <v>0</v>
      </c>
      <c r="Z130">
        <v>0</v>
      </c>
      <c r="AA130">
        <v>0</v>
      </c>
      <c r="AB130">
        <v>1</v>
      </c>
      <c r="AC130">
        <v>0</v>
      </c>
      <c r="AD130">
        <v>0</v>
      </c>
      <c r="AE130">
        <v>0</v>
      </c>
      <c r="AF130">
        <v>0</v>
      </c>
      <c r="AG130" t="s">
        <v>73</v>
      </c>
      <c r="AH130">
        <v>0</v>
      </c>
      <c r="AI130">
        <v>0</v>
      </c>
      <c r="AJ130">
        <v>0</v>
      </c>
      <c r="AK130">
        <v>1</v>
      </c>
      <c r="AL130" s="32">
        <v>0</v>
      </c>
      <c r="AM130" s="32">
        <v>0</v>
      </c>
      <c r="AN130" s="32">
        <v>0</v>
      </c>
      <c r="AO130" s="32">
        <v>0</v>
      </c>
      <c r="AP130" s="32">
        <v>0</v>
      </c>
      <c r="AQ130" t="s">
        <v>286</v>
      </c>
      <c r="AR130" s="95" t="s">
        <v>227</v>
      </c>
      <c r="AS130" s="95" t="s">
        <v>287</v>
      </c>
      <c r="AT130" s="95" t="s">
        <v>229</v>
      </c>
      <c r="AU130" s="21">
        <v>0.19900000000000001</v>
      </c>
      <c r="AV130" s="7" t="s">
        <v>80</v>
      </c>
      <c r="AW130">
        <v>0.188</v>
      </c>
      <c r="AX130" t="s">
        <v>73</v>
      </c>
      <c r="AY130">
        <v>3</v>
      </c>
      <c r="AZ130">
        <f t="shared" si="46"/>
        <v>1.0585106382978724</v>
      </c>
      <c r="BA130" s="198">
        <f t="shared" si="47"/>
        <v>0.22018196589987249</v>
      </c>
      <c r="BB130" s="112">
        <f t="shared" si="48"/>
        <v>0.54958646842503955</v>
      </c>
      <c r="BC130" t="s">
        <v>73</v>
      </c>
      <c r="BD130" t="s">
        <v>73</v>
      </c>
      <c r="BE130" t="s">
        <v>73</v>
      </c>
      <c r="BF130" t="s">
        <v>73</v>
      </c>
      <c r="BG130" t="s">
        <v>73</v>
      </c>
      <c r="BH130" t="s">
        <v>73</v>
      </c>
      <c r="BI130">
        <v>375</v>
      </c>
      <c r="BJ130">
        <v>6081</v>
      </c>
      <c r="BK130" t="s">
        <v>73</v>
      </c>
      <c r="BL130" t="s">
        <v>73</v>
      </c>
      <c r="BM130" t="s">
        <v>73</v>
      </c>
      <c r="BN130" t="s">
        <v>73</v>
      </c>
      <c r="BO130" t="s">
        <v>73</v>
      </c>
      <c r="BP130" t="s">
        <v>73</v>
      </c>
      <c r="BQ130" t="s">
        <v>73</v>
      </c>
      <c r="BR130" t="s">
        <v>73</v>
      </c>
      <c r="BS130" t="s">
        <v>73</v>
      </c>
      <c r="BT130" t="s">
        <v>73</v>
      </c>
      <c r="BU130">
        <v>0</v>
      </c>
      <c r="BV130">
        <v>0</v>
      </c>
      <c r="BW130">
        <v>1</v>
      </c>
      <c r="BX130" s="30">
        <f t="shared" si="44"/>
        <v>5.4579776966369314E-2</v>
      </c>
      <c r="BY130" s="30">
        <f t="shared" ref="BY130:BY153" si="50">0.5*LN((1+BX130)/(1-BX130))</f>
        <v>5.4634070889081947E-2</v>
      </c>
      <c r="BZ130" s="30">
        <f t="shared" ref="BZ130:BZ153" si="51">((1-(BY130^2)^2)/(BI130-1))</f>
        <v>2.6737729692011378E-3</v>
      </c>
      <c r="CA130" s="30">
        <f t="shared" ref="CA130:CA153" si="52">1/(BI130-3)</f>
        <v>2.6881720430107529E-3</v>
      </c>
      <c r="CB130" s="95" t="s">
        <v>73</v>
      </c>
      <c r="CC130">
        <f t="shared" si="49"/>
        <v>373</v>
      </c>
      <c r="CD130" s="95" t="s">
        <v>73</v>
      </c>
    </row>
    <row r="131" spans="1:82" ht="16">
      <c r="A131" s="11" t="s">
        <v>68</v>
      </c>
      <c r="B131" s="11">
        <v>24</v>
      </c>
      <c r="C131" s="11">
        <v>1060</v>
      </c>
      <c r="D131">
        <v>111</v>
      </c>
      <c r="E131" t="s">
        <v>283</v>
      </c>
      <c r="F131" s="11">
        <v>1998</v>
      </c>
      <c r="G131" t="s">
        <v>284</v>
      </c>
      <c r="H131" t="s">
        <v>285</v>
      </c>
      <c r="I131">
        <v>2</v>
      </c>
      <c r="J131">
        <v>1998</v>
      </c>
      <c r="K131" s="10" t="s">
        <v>73</v>
      </c>
      <c r="L131">
        <v>651</v>
      </c>
      <c r="M131" t="s">
        <v>155</v>
      </c>
      <c r="N131" t="s">
        <v>259</v>
      </c>
      <c r="O131" t="s">
        <v>81</v>
      </c>
      <c r="P131" s="18" t="s">
        <v>269</v>
      </c>
      <c r="Q131" t="s">
        <v>236</v>
      </c>
      <c r="R131" t="s">
        <v>243</v>
      </c>
      <c r="S131">
        <v>1</v>
      </c>
      <c r="T131" t="s">
        <v>224</v>
      </c>
      <c r="U131">
        <v>0</v>
      </c>
      <c r="V131" s="18" t="s">
        <v>225</v>
      </c>
      <c r="W131" s="18" t="s">
        <v>225</v>
      </c>
      <c r="X131" s="18" t="s">
        <v>73</v>
      </c>
      <c r="Y131">
        <v>0</v>
      </c>
      <c r="Z131">
        <v>0</v>
      </c>
      <c r="AA131">
        <v>0</v>
      </c>
      <c r="AB131">
        <v>1</v>
      </c>
      <c r="AC131">
        <v>0</v>
      </c>
      <c r="AD131">
        <v>0</v>
      </c>
      <c r="AE131">
        <v>0</v>
      </c>
      <c r="AF131">
        <v>0</v>
      </c>
      <c r="AG131" t="s">
        <v>73</v>
      </c>
      <c r="AH131">
        <v>0</v>
      </c>
      <c r="AI131">
        <v>0</v>
      </c>
      <c r="AJ131">
        <v>0</v>
      </c>
      <c r="AK131">
        <v>1</v>
      </c>
      <c r="AL131" s="32">
        <v>0</v>
      </c>
      <c r="AM131" s="32">
        <v>0</v>
      </c>
      <c r="AN131" s="32">
        <v>0</v>
      </c>
      <c r="AO131" s="32">
        <v>0</v>
      </c>
      <c r="AP131" s="32">
        <v>0</v>
      </c>
      <c r="AQ131" t="s">
        <v>286</v>
      </c>
      <c r="AR131" s="95" t="s">
        <v>227</v>
      </c>
      <c r="AS131" s="95" t="s">
        <v>287</v>
      </c>
      <c r="AT131" s="95" t="s">
        <v>229</v>
      </c>
      <c r="AU131" s="21">
        <v>0.22900000000000001</v>
      </c>
      <c r="AV131" s="7" t="s">
        <v>80</v>
      </c>
      <c r="AW131">
        <v>0.109</v>
      </c>
      <c r="AX131" t="s">
        <v>73</v>
      </c>
      <c r="AY131">
        <v>3</v>
      </c>
      <c r="AZ131">
        <f t="shared" si="46"/>
        <v>2.1009174311926606</v>
      </c>
      <c r="BA131" s="198">
        <f t="shared" si="47"/>
        <v>0.2573420390098391</v>
      </c>
      <c r="BB131" s="112">
        <f t="shared" si="48"/>
        <v>0.55700111781082129</v>
      </c>
      <c r="BC131" t="s">
        <v>73</v>
      </c>
      <c r="BD131" t="s">
        <v>73</v>
      </c>
      <c r="BE131" t="s">
        <v>73</v>
      </c>
      <c r="BF131" t="s">
        <v>73</v>
      </c>
      <c r="BG131" t="s">
        <v>73</v>
      </c>
      <c r="BH131" t="s">
        <v>73</v>
      </c>
      <c r="BI131">
        <v>375</v>
      </c>
      <c r="BJ131">
        <v>6081</v>
      </c>
      <c r="BK131" t="s">
        <v>73</v>
      </c>
      <c r="BL131" t="s">
        <v>73</v>
      </c>
      <c r="BM131" t="s">
        <v>73</v>
      </c>
      <c r="BN131" t="s">
        <v>73</v>
      </c>
      <c r="BO131" t="s">
        <v>73</v>
      </c>
      <c r="BP131" t="s">
        <v>73</v>
      </c>
      <c r="BQ131" t="s">
        <v>73</v>
      </c>
      <c r="BR131" t="s">
        <v>73</v>
      </c>
      <c r="BS131" t="s">
        <v>73</v>
      </c>
      <c r="BT131" t="s">
        <v>73</v>
      </c>
      <c r="BU131">
        <v>0</v>
      </c>
      <c r="BV131">
        <v>0</v>
      </c>
      <c r="BW131">
        <v>0</v>
      </c>
      <c r="BX131" s="30">
        <f t="shared" si="44"/>
        <v>0.1078580072117359</v>
      </c>
      <c r="BY131" s="30">
        <f t="shared" si="50"/>
        <v>0.10827920105368449</v>
      </c>
      <c r="BZ131" s="30">
        <f t="shared" si="51"/>
        <v>2.6734292480947645E-3</v>
      </c>
      <c r="CA131" s="30">
        <f t="shared" si="52"/>
        <v>2.6881720430107529E-3</v>
      </c>
      <c r="CB131" s="95" t="s">
        <v>73</v>
      </c>
      <c r="CC131">
        <f t="shared" si="49"/>
        <v>373</v>
      </c>
      <c r="CD131" s="95" t="s">
        <v>73</v>
      </c>
    </row>
    <row r="132" spans="1:82" ht="16">
      <c r="A132" s="11" t="s">
        <v>68</v>
      </c>
      <c r="B132" s="11">
        <v>24</v>
      </c>
      <c r="C132" s="11">
        <v>1065</v>
      </c>
      <c r="D132">
        <v>111</v>
      </c>
      <c r="E132" t="s">
        <v>283</v>
      </c>
      <c r="F132" s="11">
        <v>1998</v>
      </c>
      <c r="G132" t="s">
        <v>284</v>
      </c>
      <c r="H132" t="s">
        <v>285</v>
      </c>
      <c r="I132">
        <v>2</v>
      </c>
      <c r="J132">
        <v>1998</v>
      </c>
      <c r="K132" s="10" t="s">
        <v>73</v>
      </c>
      <c r="L132">
        <v>652</v>
      </c>
      <c r="M132" t="s">
        <v>308</v>
      </c>
      <c r="N132" t="s">
        <v>259</v>
      </c>
      <c r="O132" t="s">
        <v>81</v>
      </c>
      <c r="P132" s="18" t="s">
        <v>269</v>
      </c>
      <c r="Q132" t="s">
        <v>236</v>
      </c>
      <c r="R132" t="s">
        <v>243</v>
      </c>
      <c r="S132">
        <v>1</v>
      </c>
      <c r="T132" t="s">
        <v>224</v>
      </c>
      <c r="U132">
        <v>0</v>
      </c>
      <c r="V132" s="18" t="s">
        <v>225</v>
      </c>
      <c r="W132" s="18" t="s">
        <v>225</v>
      </c>
      <c r="X132" s="18" t="s">
        <v>73</v>
      </c>
      <c r="Y132">
        <v>0</v>
      </c>
      <c r="Z132">
        <v>0</v>
      </c>
      <c r="AA132">
        <v>0</v>
      </c>
      <c r="AB132">
        <v>0</v>
      </c>
      <c r="AC132">
        <v>0</v>
      </c>
      <c r="AD132">
        <v>0</v>
      </c>
      <c r="AE132">
        <v>1</v>
      </c>
      <c r="AF132">
        <v>0</v>
      </c>
      <c r="AG132" t="s">
        <v>73</v>
      </c>
      <c r="AH132">
        <v>0</v>
      </c>
      <c r="AI132">
        <v>0</v>
      </c>
      <c r="AJ132">
        <v>0</v>
      </c>
      <c r="AK132">
        <v>1</v>
      </c>
      <c r="AL132" s="32">
        <v>0</v>
      </c>
      <c r="AM132" s="32">
        <v>0</v>
      </c>
      <c r="AN132" s="32">
        <v>0</v>
      </c>
      <c r="AO132" s="32">
        <v>0</v>
      </c>
      <c r="AP132" s="32">
        <v>0</v>
      </c>
      <c r="AQ132" t="s">
        <v>286</v>
      </c>
      <c r="AR132" s="95" t="s">
        <v>227</v>
      </c>
      <c r="AS132" s="95" t="s">
        <v>287</v>
      </c>
      <c r="AT132" s="95" t="s">
        <v>229</v>
      </c>
      <c r="AU132" s="21">
        <v>0.27500000000000002</v>
      </c>
      <c r="AV132" s="7" t="s">
        <v>80</v>
      </c>
      <c r="AW132">
        <v>0.77100000000000002</v>
      </c>
      <c r="AX132" t="s">
        <v>73</v>
      </c>
      <c r="AY132">
        <v>3</v>
      </c>
      <c r="AZ132">
        <f t="shared" si="46"/>
        <v>0.35667963683527887</v>
      </c>
      <c r="BA132" s="198">
        <f t="shared" si="47"/>
        <v>0.31653067486762154</v>
      </c>
      <c r="BB132" s="112">
        <f t="shared" si="48"/>
        <v>0.56831998347824808</v>
      </c>
      <c r="BC132" t="s">
        <v>73</v>
      </c>
      <c r="BD132" t="s">
        <v>73</v>
      </c>
      <c r="BE132" t="s">
        <v>73</v>
      </c>
      <c r="BF132" t="s">
        <v>73</v>
      </c>
      <c r="BG132" t="s">
        <v>73</v>
      </c>
      <c r="BH132" t="s">
        <v>73</v>
      </c>
      <c r="BI132">
        <v>375</v>
      </c>
      <c r="BJ132">
        <v>6081</v>
      </c>
      <c r="BK132" t="s">
        <v>73</v>
      </c>
      <c r="BL132" t="s">
        <v>73</v>
      </c>
      <c r="BM132" t="s">
        <v>73</v>
      </c>
      <c r="BN132" t="s">
        <v>73</v>
      </c>
      <c r="BO132" t="s">
        <v>73</v>
      </c>
      <c r="BP132" t="s">
        <v>73</v>
      </c>
      <c r="BQ132" t="s">
        <v>73</v>
      </c>
      <c r="BR132" t="s">
        <v>73</v>
      </c>
      <c r="BS132" t="s">
        <v>73</v>
      </c>
      <c r="BT132" t="s">
        <v>73</v>
      </c>
      <c r="BU132">
        <v>0</v>
      </c>
      <c r="BV132">
        <v>0</v>
      </c>
      <c r="BW132">
        <v>1</v>
      </c>
      <c r="BX132" s="30">
        <f t="shared" si="44"/>
        <v>1.8415733701710926E-2</v>
      </c>
      <c r="BY132" s="30">
        <f t="shared" si="50"/>
        <v>1.8417815958123879E-2</v>
      </c>
      <c r="BZ132" s="30">
        <f t="shared" si="51"/>
        <v>2.6737964837768528E-3</v>
      </c>
      <c r="CA132" s="30">
        <f t="shared" si="52"/>
        <v>2.6881720430107529E-3</v>
      </c>
      <c r="CB132" s="95" t="s">
        <v>73</v>
      </c>
      <c r="CC132">
        <f t="shared" si="49"/>
        <v>373</v>
      </c>
      <c r="CD132" s="95" t="s">
        <v>73</v>
      </c>
    </row>
    <row r="133" spans="1:82" ht="16">
      <c r="A133" s="11" t="s">
        <v>68</v>
      </c>
      <c r="B133" s="11">
        <v>24</v>
      </c>
      <c r="C133" s="11">
        <v>1069</v>
      </c>
      <c r="D133">
        <v>111</v>
      </c>
      <c r="E133" t="s">
        <v>283</v>
      </c>
      <c r="F133" s="11">
        <v>1998</v>
      </c>
      <c r="G133" t="s">
        <v>284</v>
      </c>
      <c r="H133" t="s">
        <v>285</v>
      </c>
      <c r="I133">
        <v>2</v>
      </c>
      <c r="J133">
        <v>1998</v>
      </c>
      <c r="K133" s="10" t="s">
        <v>73</v>
      </c>
      <c r="L133">
        <v>654</v>
      </c>
      <c r="M133" t="s">
        <v>308</v>
      </c>
      <c r="N133" t="s">
        <v>259</v>
      </c>
      <c r="O133" t="s">
        <v>81</v>
      </c>
      <c r="P133" s="18" t="s">
        <v>221</v>
      </c>
      <c r="Q133" t="s">
        <v>236</v>
      </c>
      <c r="R133" t="s">
        <v>243</v>
      </c>
      <c r="S133">
        <v>1</v>
      </c>
      <c r="T133" t="s">
        <v>224</v>
      </c>
      <c r="U133">
        <v>0</v>
      </c>
      <c r="V133" s="18" t="s">
        <v>225</v>
      </c>
      <c r="W133" s="18" t="s">
        <v>225</v>
      </c>
      <c r="X133" s="18" t="s">
        <v>73</v>
      </c>
      <c r="Y133">
        <v>0</v>
      </c>
      <c r="Z133">
        <v>0</v>
      </c>
      <c r="AA133">
        <v>0</v>
      </c>
      <c r="AB133">
        <v>1</v>
      </c>
      <c r="AC133">
        <v>0</v>
      </c>
      <c r="AD133">
        <v>0</v>
      </c>
      <c r="AE133">
        <v>0</v>
      </c>
      <c r="AF133">
        <v>0</v>
      </c>
      <c r="AG133" t="s">
        <v>73</v>
      </c>
      <c r="AH133">
        <v>0</v>
      </c>
      <c r="AI133">
        <v>0</v>
      </c>
      <c r="AJ133">
        <v>0</v>
      </c>
      <c r="AK133">
        <v>1</v>
      </c>
      <c r="AL133" s="32">
        <v>0</v>
      </c>
      <c r="AM133" s="32">
        <v>0</v>
      </c>
      <c r="AN133" s="32">
        <v>0</v>
      </c>
      <c r="AO133" s="32">
        <v>0</v>
      </c>
      <c r="AP133" s="32">
        <v>0</v>
      </c>
      <c r="AQ133" t="s">
        <v>286</v>
      </c>
      <c r="AR133" s="95" t="s">
        <v>227</v>
      </c>
      <c r="AS133" s="95" t="s">
        <v>287</v>
      </c>
      <c r="AT133" s="95" t="s">
        <v>229</v>
      </c>
      <c r="AU133" s="50">
        <v>3.01</v>
      </c>
      <c r="AV133" s="7" t="s">
        <v>86</v>
      </c>
      <c r="AW133">
        <v>2.17</v>
      </c>
      <c r="AX133" t="s">
        <v>73</v>
      </c>
      <c r="AY133">
        <v>3</v>
      </c>
      <c r="AZ133">
        <f t="shared" si="46"/>
        <v>1.3870967741935483</v>
      </c>
      <c r="BA133" s="198">
        <f t="shared" si="47"/>
        <v>19.287399925240926</v>
      </c>
      <c r="BB133" s="112">
        <f t="shared" si="48"/>
        <v>0.95302385432171643</v>
      </c>
      <c r="BC133" t="s">
        <v>73</v>
      </c>
      <c r="BD133" t="s">
        <v>73</v>
      </c>
      <c r="BE133" t="s">
        <v>73</v>
      </c>
      <c r="BF133" t="s">
        <v>73</v>
      </c>
      <c r="BG133" t="s">
        <v>73</v>
      </c>
      <c r="BH133" t="s">
        <v>73</v>
      </c>
      <c r="BI133">
        <v>163</v>
      </c>
      <c r="BJ133">
        <v>163</v>
      </c>
      <c r="BK133" t="s">
        <v>73</v>
      </c>
      <c r="BL133" t="s">
        <v>73</v>
      </c>
      <c r="BM133" t="s">
        <v>73</v>
      </c>
      <c r="BN133" t="s">
        <v>73</v>
      </c>
      <c r="BO133" t="s">
        <v>73</v>
      </c>
      <c r="BP133" t="s">
        <v>73</v>
      </c>
      <c r="BQ133" t="s">
        <v>73</v>
      </c>
      <c r="BR133" t="s">
        <v>73</v>
      </c>
      <c r="BS133" t="s">
        <v>73</v>
      </c>
      <c r="BT133" t="s">
        <v>73</v>
      </c>
      <c r="BU133">
        <v>0</v>
      </c>
      <c r="BV133">
        <v>0</v>
      </c>
      <c r="BW133">
        <v>1</v>
      </c>
      <c r="BX133" s="30">
        <f t="shared" si="44"/>
        <v>0.10801020309415331</v>
      </c>
      <c r="BY133" s="30">
        <f t="shared" si="50"/>
        <v>0.10843319088266559</v>
      </c>
      <c r="BZ133" s="30">
        <f t="shared" si="51"/>
        <v>6.1719861429199588E-3</v>
      </c>
      <c r="CA133" s="30">
        <f t="shared" si="52"/>
        <v>6.2500000000000003E-3</v>
      </c>
      <c r="CB133" s="95" t="s">
        <v>73</v>
      </c>
      <c r="CC133">
        <f t="shared" si="49"/>
        <v>161</v>
      </c>
      <c r="CD133" s="95" t="s">
        <v>73</v>
      </c>
    </row>
    <row r="134" spans="1:82" ht="16">
      <c r="A134" s="11" t="s">
        <v>68</v>
      </c>
      <c r="B134" s="11">
        <v>24</v>
      </c>
      <c r="C134" s="11">
        <v>1068</v>
      </c>
      <c r="D134">
        <v>111</v>
      </c>
      <c r="E134" t="s">
        <v>283</v>
      </c>
      <c r="F134" s="11">
        <v>1998</v>
      </c>
      <c r="G134" t="s">
        <v>284</v>
      </c>
      <c r="H134" t="s">
        <v>285</v>
      </c>
      <c r="I134">
        <v>2</v>
      </c>
      <c r="J134">
        <v>1998</v>
      </c>
      <c r="K134" s="10" t="s">
        <v>73</v>
      </c>
      <c r="L134">
        <v>654</v>
      </c>
      <c r="M134" t="s">
        <v>308</v>
      </c>
      <c r="N134" t="s">
        <v>259</v>
      </c>
      <c r="O134" t="s">
        <v>81</v>
      </c>
      <c r="P134" s="18" t="s">
        <v>221</v>
      </c>
      <c r="Q134" t="s">
        <v>236</v>
      </c>
      <c r="R134" t="s">
        <v>243</v>
      </c>
      <c r="S134">
        <v>1</v>
      </c>
      <c r="T134" t="s">
        <v>224</v>
      </c>
      <c r="U134">
        <v>0</v>
      </c>
      <c r="V134" s="18" t="s">
        <v>225</v>
      </c>
      <c r="W134" s="18" t="s">
        <v>225</v>
      </c>
      <c r="X134" s="18" t="s">
        <v>73</v>
      </c>
      <c r="Y134">
        <v>0</v>
      </c>
      <c r="Z134">
        <v>0</v>
      </c>
      <c r="AA134">
        <v>0</v>
      </c>
      <c r="AB134">
        <v>1</v>
      </c>
      <c r="AC134">
        <v>0</v>
      </c>
      <c r="AD134">
        <v>0</v>
      </c>
      <c r="AE134">
        <v>0</v>
      </c>
      <c r="AF134">
        <v>0</v>
      </c>
      <c r="AG134" t="s">
        <v>73</v>
      </c>
      <c r="AH134">
        <v>0</v>
      </c>
      <c r="AI134">
        <v>0</v>
      </c>
      <c r="AJ134">
        <v>0</v>
      </c>
      <c r="AK134">
        <v>1</v>
      </c>
      <c r="AL134" s="32">
        <v>0</v>
      </c>
      <c r="AM134" s="32">
        <v>0</v>
      </c>
      <c r="AN134" s="32">
        <v>0</v>
      </c>
      <c r="AO134" s="32">
        <v>0</v>
      </c>
      <c r="AP134" s="32">
        <v>0</v>
      </c>
      <c r="AQ134" t="s">
        <v>286</v>
      </c>
      <c r="AR134" s="95" t="s">
        <v>227</v>
      </c>
      <c r="AS134" s="95" t="s">
        <v>287</v>
      </c>
      <c r="AT134" s="95" t="s">
        <v>229</v>
      </c>
      <c r="AU134" s="50">
        <v>3.7</v>
      </c>
      <c r="AV134" s="7" t="s">
        <v>86</v>
      </c>
      <c r="AW134">
        <v>7.31</v>
      </c>
      <c r="AX134" t="s">
        <v>73</v>
      </c>
      <c r="AY134">
        <v>3</v>
      </c>
      <c r="AZ134">
        <f t="shared" si="46"/>
        <v>0.50615595075239406</v>
      </c>
      <c r="BA134" s="198">
        <f t="shared" si="47"/>
        <v>39.447304360067399</v>
      </c>
      <c r="BB134" s="112">
        <f t="shared" si="48"/>
        <v>0.9758729785823308</v>
      </c>
      <c r="BC134" t="s">
        <v>73</v>
      </c>
      <c r="BD134" t="s">
        <v>73</v>
      </c>
      <c r="BE134" t="s">
        <v>73</v>
      </c>
      <c r="BF134" t="s">
        <v>73</v>
      </c>
      <c r="BG134" t="s">
        <v>73</v>
      </c>
      <c r="BH134" t="s">
        <v>73</v>
      </c>
      <c r="BI134">
        <v>163</v>
      </c>
      <c r="BJ134">
        <v>163</v>
      </c>
      <c r="BK134" t="s">
        <v>73</v>
      </c>
      <c r="BL134" t="s">
        <v>73</v>
      </c>
      <c r="BM134" t="s">
        <v>73</v>
      </c>
      <c r="BN134" t="s">
        <v>73</v>
      </c>
      <c r="BO134" t="s">
        <v>73</v>
      </c>
      <c r="BP134" t="s">
        <v>73</v>
      </c>
      <c r="BQ134" t="s">
        <v>73</v>
      </c>
      <c r="BR134" t="s">
        <v>73</v>
      </c>
      <c r="BS134" t="s">
        <v>73</v>
      </c>
      <c r="BT134" t="s">
        <v>73</v>
      </c>
      <c r="BU134">
        <v>0</v>
      </c>
      <c r="BV134">
        <v>0</v>
      </c>
      <c r="BW134">
        <v>1</v>
      </c>
      <c r="BX134" s="30">
        <f t="shared" si="44"/>
        <v>3.9614074457903617E-2</v>
      </c>
      <c r="BY134" s="30">
        <f t="shared" si="50"/>
        <v>3.9634815781559279E-2</v>
      </c>
      <c r="BZ134" s="30">
        <f t="shared" si="51"/>
        <v>6.1728242729301415E-3</v>
      </c>
      <c r="CA134" s="30">
        <f t="shared" si="52"/>
        <v>6.2500000000000003E-3</v>
      </c>
      <c r="CB134" s="95" t="s">
        <v>73</v>
      </c>
      <c r="CC134">
        <f t="shared" si="49"/>
        <v>161</v>
      </c>
      <c r="CD134" s="95" t="s">
        <v>73</v>
      </c>
    </row>
    <row r="135" spans="1:82" s="131" customFormat="1" ht="16">
      <c r="A135" s="105" t="s">
        <v>68</v>
      </c>
      <c r="B135" s="105">
        <v>25</v>
      </c>
      <c r="C135" s="105">
        <v>1102</v>
      </c>
      <c r="D135" s="108">
        <v>119</v>
      </c>
      <c r="E135" s="108" t="s">
        <v>405</v>
      </c>
      <c r="F135" s="105">
        <v>2006</v>
      </c>
      <c r="G135" s="108" t="s">
        <v>406</v>
      </c>
      <c r="H135" s="201" t="s">
        <v>154</v>
      </c>
      <c r="I135" s="108">
        <v>2</v>
      </c>
      <c r="J135" s="108">
        <v>2005</v>
      </c>
      <c r="K135" s="118" t="s">
        <v>73</v>
      </c>
      <c r="L135" s="108">
        <v>193</v>
      </c>
      <c r="M135" s="108" t="s">
        <v>155</v>
      </c>
      <c r="N135" s="108" t="s">
        <v>112</v>
      </c>
      <c r="O135" s="108" t="s">
        <v>156</v>
      </c>
      <c r="P135" s="108" t="s">
        <v>221</v>
      </c>
      <c r="Q135" s="108" t="s">
        <v>275</v>
      </c>
      <c r="R135" s="108" t="s">
        <v>276</v>
      </c>
      <c r="S135" s="108">
        <v>1</v>
      </c>
      <c r="T135" s="108" t="s">
        <v>224</v>
      </c>
      <c r="U135" s="108">
        <v>0</v>
      </c>
      <c r="V135" s="108" t="s">
        <v>252</v>
      </c>
      <c r="W135" s="108" t="s">
        <v>252</v>
      </c>
      <c r="X135" s="108" t="s">
        <v>157</v>
      </c>
      <c r="Y135" s="108">
        <v>0</v>
      </c>
      <c r="Z135" s="108">
        <v>0</v>
      </c>
      <c r="AA135" s="108">
        <v>1</v>
      </c>
      <c r="AB135" s="108">
        <v>0</v>
      </c>
      <c r="AC135" s="108">
        <v>0</v>
      </c>
      <c r="AD135" s="108">
        <v>0</v>
      </c>
      <c r="AE135" s="108">
        <v>0</v>
      </c>
      <c r="AF135" s="108">
        <v>0</v>
      </c>
      <c r="AG135" s="108" t="s">
        <v>73</v>
      </c>
      <c r="AH135" s="108">
        <v>1</v>
      </c>
      <c r="AI135" s="108">
        <v>0</v>
      </c>
      <c r="AJ135" s="108">
        <v>0</v>
      </c>
      <c r="AK135" s="108">
        <v>0</v>
      </c>
      <c r="AL135" s="108">
        <v>0</v>
      </c>
      <c r="AM135" s="108">
        <v>0</v>
      </c>
      <c r="AN135" s="108">
        <v>0</v>
      </c>
      <c r="AO135" s="108">
        <v>0</v>
      </c>
      <c r="AP135" s="108">
        <v>0</v>
      </c>
      <c r="AQ135" s="108" t="s">
        <v>407</v>
      </c>
      <c r="AR135" s="108" t="s">
        <v>227</v>
      </c>
      <c r="AS135" s="108" t="s">
        <v>408</v>
      </c>
      <c r="AT135" s="108" t="s">
        <v>273</v>
      </c>
      <c r="AU135" s="202">
        <v>0.24340000000000001</v>
      </c>
      <c r="AV135" s="120" t="s">
        <v>80</v>
      </c>
      <c r="AW135" s="203">
        <v>8.2799999999999999E-2</v>
      </c>
      <c r="AX135" s="108">
        <v>0.01</v>
      </c>
      <c r="AY135" s="108">
        <v>1</v>
      </c>
      <c r="AZ135" s="108">
        <f t="shared" si="46"/>
        <v>2.9396135265700485</v>
      </c>
      <c r="BA135" s="204">
        <f t="shared" si="47"/>
        <v>0.27557875358719897</v>
      </c>
      <c r="BB135" s="99">
        <f t="shared" si="48"/>
        <v>0.56055135493614083</v>
      </c>
      <c r="BC135" s="108" t="s">
        <v>73</v>
      </c>
      <c r="BD135" s="108" t="s">
        <v>73</v>
      </c>
      <c r="BE135" s="108" t="s">
        <v>73</v>
      </c>
      <c r="BF135" s="108" t="s">
        <v>73</v>
      </c>
      <c r="BG135" s="108" t="s">
        <v>73</v>
      </c>
      <c r="BH135" s="108" t="s">
        <v>73</v>
      </c>
      <c r="BI135" s="108">
        <v>151</v>
      </c>
      <c r="BJ135" s="108">
        <v>151</v>
      </c>
      <c r="BK135" s="108" t="s">
        <v>73</v>
      </c>
      <c r="BL135" s="108" t="s">
        <v>73</v>
      </c>
      <c r="BM135" s="108" t="s">
        <v>73</v>
      </c>
      <c r="BN135" s="108" t="s">
        <v>73</v>
      </c>
      <c r="BO135" s="108" t="s">
        <v>73</v>
      </c>
      <c r="BP135" s="108" t="s">
        <v>73</v>
      </c>
      <c r="BQ135" s="108" t="s">
        <v>73</v>
      </c>
      <c r="BR135" s="108" t="s">
        <v>73</v>
      </c>
      <c r="BS135" s="108" t="s">
        <v>73</v>
      </c>
      <c r="BT135" s="108" t="s">
        <v>387</v>
      </c>
      <c r="BU135" s="108">
        <v>0</v>
      </c>
      <c r="BV135" s="108">
        <v>0</v>
      </c>
      <c r="BW135" s="108">
        <v>0</v>
      </c>
      <c r="BX135" s="123">
        <f t="shared" si="44"/>
        <v>0.23265777562024986</v>
      </c>
      <c r="BY135" s="123">
        <f t="shared" si="50"/>
        <v>0.23699751145474932</v>
      </c>
      <c r="BZ135" s="123">
        <f t="shared" si="51"/>
        <v>6.6456345063166536E-3</v>
      </c>
      <c r="CA135" s="123">
        <f t="shared" si="52"/>
        <v>6.7567567567567571E-3</v>
      </c>
      <c r="CB135" s="95" t="s">
        <v>73</v>
      </c>
      <c r="CC135">
        <f>BI135-1</f>
        <v>150</v>
      </c>
      <c r="CD135" s="95" t="s">
        <v>73</v>
      </c>
    </row>
    <row r="136" spans="1:82" s="95" customFormat="1" ht="16">
      <c r="A136" s="105" t="s">
        <v>68</v>
      </c>
      <c r="B136" s="105">
        <v>25</v>
      </c>
      <c r="C136" s="105">
        <v>1101</v>
      </c>
      <c r="D136" s="108">
        <v>119</v>
      </c>
      <c r="E136" s="108" t="s">
        <v>405</v>
      </c>
      <c r="F136" s="105">
        <v>2006</v>
      </c>
      <c r="G136" s="108" t="s">
        <v>406</v>
      </c>
      <c r="H136" s="201" t="s">
        <v>154</v>
      </c>
      <c r="I136" s="108">
        <v>2</v>
      </c>
      <c r="J136" s="108">
        <v>2005</v>
      </c>
      <c r="K136" s="118" t="s">
        <v>73</v>
      </c>
      <c r="L136" s="108">
        <v>193</v>
      </c>
      <c r="M136" s="108" t="s">
        <v>155</v>
      </c>
      <c r="N136" s="108" t="s">
        <v>112</v>
      </c>
      <c r="O136" s="108" t="s">
        <v>156</v>
      </c>
      <c r="P136" s="108" t="s">
        <v>221</v>
      </c>
      <c r="Q136" s="108" t="s">
        <v>275</v>
      </c>
      <c r="R136" s="108" t="s">
        <v>276</v>
      </c>
      <c r="S136" s="108">
        <v>1</v>
      </c>
      <c r="T136" s="108" t="s">
        <v>224</v>
      </c>
      <c r="U136" s="108">
        <v>0</v>
      </c>
      <c r="V136" s="108" t="s">
        <v>252</v>
      </c>
      <c r="W136" s="108" t="s">
        <v>252</v>
      </c>
      <c r="X136" s="108" t="s">
        <v>157</v>
      </c>
      <c r="Y136" s="108">
        <v>0</v>
      </c>
      <c r="Z136" s="108">
        <v>0</v>
      </c>
      <c r="AA136" s="108">
        <v>1</v>
      </c>
      <c r="AB136" s="108">
        <v>0</v>
      </c>
      <c r="AC136" s="108">
        <v>0</v>
      </c>
      <c r="AD136" s="108">
        <v>0</v>
      </c>
      <c r="AE136" s="108">
        <v>0</v>
      </c>
      <c r="AF136" s="108">
        <v>0</v>
      </c>
      <c r="AG136" s="108" t="s">
        <v>73</v>
      </c>
      <c r="AH136" s="108">
        <v>1</v>
      </c>
      <c r="AI136" s="108">
        <v>0</v>
      </c>
      <c r="AJ136" s="108">
        <v>0</v>
      </c>
      <c r="AK136" s="108">
        <v>0</v>
      </c>
      <c r="AL136" s="108">
        <v>0</v>
      </c>
      <c r="AM136" s="108">
        <v>0</v>
      </c>
      <c r="AN136" s="108">
        <v>0</v>
      </c>
      <c r="AO136" s="108">
        <v>0</v>
      </c>
      <c r="AP136" s="108">
        <v>0</v>
      </c>
      <c r="AQ136" s="108" t="s">
        <v>442</v>
      </c>
      <c r="AR136" s="108" t="s">
        <v>227</v>
      </c>
      <c r="AS136" s="108" t="s">
        <v>408</v>
      </c>
      <c r="AT136" s="108" t="s">
        <v>273</v>
      </c>
      <c r="AU136" s="202">
        <v>0.4874</v>
      </c>
      <c r="AV136" s="120" t="s">
        <v>80</v>
      </c>
      <c r="AW136" s="203">
        <v>9.1800000000000007E-2</v>
      </c>
      <c r="AX136" s="108">
        <v>0.01</v>
      </c>
      <c r="AY136" s="108">
        <v>1</v>
      </c>
      <c r="AZ136" s="108">
        <f t="shared" si="46"/>
        <v>5.3093681917211324</v>
      </c>
      <c r="BA136" s="204">
        <f t="shared" si="47"/>
        <v>0.62807771023382664</v>
      </c>
      <c r="BB136" s="99">
        <f t="shared" si="48"/>
        <v>0.61949374780434951</v>
      </c>
      <c r="BC136" s="108" t="s">
        <v>73</v>
      </c>
      <c r="BD136" s="108" t="s">
        <v>73</v>
      </c>
      <c r="BE136" s="108" t="s">
        <v>73</v>
      </c>
      <c r="BF136" s="108" t="s">
        <v>73</v>
      </c>
      <c r="BG136" s="108" t="s">
        <v>73</v>
      </c>
      <c r="BH136" s="108" t="s">
        <v>73</v>
      </c>
      <c r="BI136" s="108">
        <v>151</v>
      </c>
      <c r="BJ136" s="108">
        <v>151</v>
      </c>
      <c r="BK136" s="108" t="s">
        <v>73</v>
      </c>
      <c r="BL136" s="108" t="s">
        <v>73</v>
      </c>
      <c r="BM136" s="108" t="s">
        <v>73</v>
      </c>
      <c r="BN136" s="108" t="s">
        <v>73</v>
      </c>
      <c r="BO136" s="108" t="s">
        <v>73</v>
      </c>
      <c r="BP136" s="108" t="s">
        <v>73</v>
      </c>
      <c r="BQ136" s="108" t="s">
        <v>73</v>
      </c>
      <c r="BR136" s="108" t="s">
        <v>73</v>
      </c>
      <c r="BS136" s="108" t="s">
        <v>73</v>
      </c>
      <c r="BT136" s="108" t="s">
        <v>387</v>
      </c>
      <c r="BU136" s="108">
        <v>0</v>
      </c>
      <c r="BV136" s="108">
        <v>0</v>
      </c>
      <c r="BW136" s="108">
        <v>0</v>
      </c>
      <c r="BX136" s="123">
        <f t="shared" si="44"/>
        <v>0.39663103881354556</v>
      </c>
      <c r="BY136" s="123">
        <f t="shared" si="50"/>
        <v>0.41964466459073052</v>
      </c>
      <c r="BZ136" s="123">
        <f t="shared" si="51"/>
        <v>6.4599214053169289E-3</v>
      </c>
      <c r="CA136" s="123">
        <f t="shared" si="52"/>
        <v>6.7567567567567571E-3</v>
      </c>
      <c r="CB136" s="95" t="s">
        <v>73</v>
      </c>
      <c r="CC136">
        <f>BI136-1</f>
        <v>150</v>
      </c>
      <c r="CD136" s="95" t="s">
        <v>73</v>
      </c>
    </row>
    <row r="137" spans="1:82" s="95" customFormat="1" ht="16">
      <c r="A137" s="141" t="s">
        <v>327</v>
      </c>
      <c r="B137" s="141">
        <v>26</v>
      </c>
      <c r="C137" s="140">
        <v>1251</v>
      </c>
      <c r="D137" s="141">
        <v>303</v>
      </c>
      <c r="E137" s="151" t="s">
        <v>543</v>
      </c>
      <c r="F137" s="141">
        <v>2015</v>
      </c>
      <c r="G137" s="139" t="s">
        <v>544</v>
      </c>
      <c r="H137" s="139" t="s">
        <v>545</v>
      </c>
      <c r="I137" s="151">
        <v>2</v>
      </c>
      <c r="J137" s="151">
        <v>2013</v>
      </c>
      <c r="K137" s="141" t="s">
        <v>73</v>
      </c>
      <c r="L137" s="139">
        <v>67</v>
      </c>
      <c r="M137" s="139" t="s">
        <v>107</v>
      </c>
      <c r="N137" s="139" t="s">
        <v>76</v>
      </c>
      <c r="O137" s="139" t="s">
        <v>81</v>
      </c>
      <c r="P137" s="151" t="s">
        <v>221</v>
      </c>
      <c r="Q137" s="139" t="s">
        <v>275</v>
      </c>
      <c r="R137" s="139" t="s">
        <v>276</v>
      </c>
      <c r="S137" s="139">
        <v>0</v>
      </c>
      <c r="T137" s="139" t="s">
        <v>189</v>
      </c>
      <c r="U137" s="139">
        <v>0</v>
      </c>
      <c r="V137" s="151" t="s">
        <v>252</v>
      </c>
      <c r="W137" s="151" t="s">
        <v>252</v>
      </c>
      <c r="X137" s="139" t="s">
        <v>566</v>
      </c>
      <c r="Y137" s="151">
        <v>0</v>
      </c>
      <c r="Z137" s="151">
        <v>1</v>
      </c>
      <c r="AA137" s="151">
        <v>1</v>
      </c>
      <c r="AB137" s="151">
        <v>1</v>
      </c>
      <c r="AC137" s="151">
        <v>0</v>
      </c>
      <c r="AD137" s="151">
        <v>0</v>
      </c>
      <c r="AE137" s="141">
        <v>0</v>
      </c>
      <c r="AF137" s="141">
        <v>0</v>
      </c>
      <c r="AG137" s="151" t="s">
        <v>73</v>
      </c>
      <c r="AH137" s="151">
        <v>0</v>
      </c>
      <c r="AI137" s="151">
        <v>0</v>
      </c>
      <c r="AJ137" s="151">
        <v>0</v>
      </c>
      <c r="AK137" s="151">
        <v>0</v>
      </c>
      <c r="AL137" s="151">
        <v>0</v>
      </c>
      <c r="AM137" s="151">
        <v>1</v>
      </c>
      <c r="AN137" s="151">
        <v>0</v>
      </c>
      <c r="AO137" s="151">
        <v>0</v>
      </c>
      <c r="AP137" s="151">
        <v>0</v>
      </c>
      <c r="AQ137" s="139" t="s">
        <v>567</v>
      </c>
      <c r="AR137" s="139" t="s">
        <v>227</v>
      </c>
      <c r="AS137" s="139" t="s">
        <v>567</v>
      </c>
      <c r="AT137" s="139" t="s">
        <v>73</v>
      </c>
      <c r="AU137" s="139" t="s">
        <v>73</v>
      </c>
      <c r="AV137" s="143" t="s">
        <v>80</v>
      </c>
      <c r="AW137" s="139">
        <f>AZ137/ABS(_xlfn.T.INV.2T(AX137,CC137))</f>
        <v>1</v>
      </c>
      <c r="AX137" s="139">
        <v>0.02</v>
      </c>
      <c r="AY137" s="139">
        <v>1</v>
      </c>
      <c r="AZ137" s="208">
        <f>TINV(AX137,CC137)</f>
        <v>3.7469473879791968</v>
      </c>
      <c r="BA137" s="206">
        <f t="shared" ref="BA137:BA141" si="53">BK137/BC137</f>
        <v>34.655601659751035</v>
      </c>
      <c r="BB137" s="206"/>
      <c r="BC137" s="151">
        <v>241</v>
      </c>
      <c r="BD137" s="151">
        <v>3</v>
      </c>
      <c r="BE137" s="151" t="s">
        <v>73</v>
      </c>
      <c r="BF137" s="151">
        <v>8593</v>
      </c>
      <c r="BG137" s="151">
        <v>3</v>
      </c>
      <c r="BH137" s="151" t="s">
        <v>73</v>
      </c>
      <c r="BI137" s="151">
        <v>6</v>
      </c>
      <c r="BJ137" s="151" t="s">
        <v>73</v>
      </c>
      <c r="BK137" s="207">
        <v>8352</v>
      </c>
      <c r="BL137" s="151" t="s">
        <v>73</v>
      </c>
      <c r="BM137" s="151" t="s">
        <v>73</v>
      </c>
      <c r="BN137" s="139" t="s">
        <v>73</v>
      </c>
      <c r="BO137" s="141" t="s">
        <v>73</v>
      </c>
      <c r="BP137" s="141" t="s">
        <v>73</v>
      </c>
      <c r="BQ137" s="141" t="s">
        <v>73</v>
      </c>
      <c r="BR137" s="139">
        <v>1</v>
      </c>
      <c r="BS137" s="141" t="s">
        <v>73</v>
      </c>
      <c r="BT137" s="141" t="s">
        <v>73</v>
      </c>
      <c r="BU137" s="151">
        <v>0</v>
      </c>
      <c r="BV137" s="151">
        <v>0</v>
      </c>
      <c r="BW137" s="151">
        <v>0</v>
      </c>
      <c r="BX137" s="146">
        <f t="shared" ref="BX137:BX141" si="54">CB137/((CB137^2+4)^(1/2))</f>
        <v>0.99999997132859308</v>
      </c>
      <c r="BY137" s="156">
        <f t="shared" si="50"/>
        <v>9.0302563258721591</v>
      </c>
      <c r="BZ137" s="156">
        <f t="shared" si="51"/>
        <v>-1329.7346701207366</v>
      </c>
      <c r="CA137" s="156">
        <f t="shared" si="52"/>
        <v>0.33333333333333331</v>
      </c>
      <c r="CB137" s="139">
        <f>BK137/AW137</f>
        <v>8352</v>
      </c>
      <c r="CC137" s="122">
        <f>BI137-2</f>
        <v>4</v>
      </c>
      <c r="CD137" s="122" t="s">
        <v>652</v>
      </c>
    </row>
    <row r="138" spans="1:82" s="95" customFormat="1" ht="16">
      <c r="A138" s="209" t="s">
        <v>68</v>
      </c>
      <c r="B138" s="209">
        <v>27</v>
      </c>
      <c r="C138" s="209">
        <v>1193</v>
      </c>
      <c r="D138" s="209">
        <v>145</v>
      </c>
      <c r="E138" s="209" t="s">
        <v>531</v>
      </c>
      <c r="F138" s="209">
        <v>2018</v>
      </c>
      <c r="G138" s="209" t="s">
        <v>532</v>
      </c>
      <c r="H138" s="209" t="s">
        <v>533</v>
      </c>
      <c r="I138" s="209">
        <v>1</v>
      </c>
      <c r="J138" s="209">
        <v>2015</v>
      </c>
      <c r="K138" s="209" t="s">
        <v>73</v>
      </c>
      <c r="L138" s="209">
        <v>122</v>
      </c>
      <c r="M138" s="209" t="s">
        <v>107</v>
      </c>
      <c r="N138" s="209" t="s">
        <v>112</v>
      </c>
      <c r="O138" s="209" t="s">
        <v>156</v>
      </c>
      <c r="P138" s="209" t="s">
        <v>221</v>
      </c>
      <c r="Q138" s="209" t="s">
        <v>260</v>
      </c>
      <c r="R138" s="209" t="s">
        <v>270</v>
      </c>
      <c r="S138" s="209">
        <v>0</v>
      </c>
      <c r="T138" s="209" t="s">
        <v>224</v>
      </c>
      <c r="U138" s="209">
        <v>0</v>
      </c>
      <c r="V138" s="209" t="s">
        <v>252</v>
      </c>
      <c r="W138" s="209" t="s">
        <v>252</v>
      </c>
      <c r="X138" s="209" t="s">
        <v>534</v>
      </c>
      <c r="Y138" s="209">
        <v>0</v>
      </c>
      <c r="Z138" s="209">
        <v>1</v>
      </c>
      <c r="AA138" s="209">
        <v>1</v>
      </c>
      <c r="AB138" s="209">
        <v>0</v>
      </c>
      <c r="AC138" s="209">
        <v>0</v>
      </c>
      <c r="AD138" s="209">
        <v>0</v>
      </c>
      <c r="AE138" s="209">
        <v>0</v>
      </c>
      <c r="AF138" s="209">
        <v>0</v>
      </c>
      <c r="AG138" s="209" t="s">
        <v>535</v>
      </c>
      <c r="AH138" s="209">
        <v>0</v>
      </c>
      <c r="AI138" s="209">
        <v>0</v>
      </c>
      <c r="AJ138" s="209">
        <v>0</v>
      </c>
      <c r="AK138" s="209">
        <v>1</v>
      </c>
      <c r="AL138" s="209">
        <v>0</v>
      </c>
      <c r="AM138" s="209">
        <v>0</v>
      </c>
      <c r="AN138" s="209">
        <v>0</v>
      </c>
      <c r="AO138" s="209">
        <v>0</v>
      </c>
      <c r="AP138" s="209">
        <v>0</v>
      </c>
      <c r="AQ138" s="209" t="s">
        <v>73</v>
      </c>
      <c r="AR138" s="209" t="s">
        <v>227</v>
      </c>
      <c r="AS138" s="209" t="s">
        <v>536</v>
      </c>
      <c r="AT138" s="209" t="s">
        <v>73</v>
      </c>
      <c r="AU138" s="210" t="s">
        <v>73</v>
      </c>
      <c r="AV138" s="210" t="s">
        <v>86</v>
      </c>
      <c r="AW138" s="209">
        <v>2.4</v>
      </c>
      <c r="AX138" s="211">
        <v>0.1</v>
      </c>
      <c r="AY138" s="209">
        <v>2</v>
      </c>
      <c r="AZ138" s="212">
        <f>TINV(AX138,CC138)</f>
        <v>1.6512273926074998</v>
      </c>
      <c r="BA138" s="136">
        <f t="shared" si="53"/>
        <v>0</v>
      </c>
      <c r="BB138" s="136"/>
      <c r="BC138" s="209">
        <v>199.5</v>
      </c>
      <c r="BD138" s="209">
        <v>100</v>
      </c>
      <c r="BE138" s="209">
        <v>2.1</v>
      </c>
      <c r="BF138" s="209">
        <v>199.5</v>
      </c>
      <c r="BG138" s="209">
        <v>141</v>
      </c>
      <c r="BH138" s="209">
        <v>1.4</v>
      </c>
      <c r="BI138" s="209">
        <f>BG138+BD138</f>
        <v>241</v>
      </c>
      <c r="BJ138" s="209">
        <v>241</v>
      </c>
      <c r="BK138" s="209">
        <f>ABS(BC138-BF138)</f>
        <v>0</v>
      </c>
      <c r="BL138" s="209" t="s">
        <v>73</v>
      </c>
      <c r="BM138" s="209" t="s">
        <v>73</v>
      </c>
      <c r="BN138" s="209" t="s">
        <v>73</v>
      </c>
      <c r="BO138" s="209" t="s">
        <v>73</v>
      </c>
      <c r="BP138" s="209">
        <v>0</v>
      </c>
      <c r="BQ138" s="209" t="s">
        <v>73</v>
      </c>
      <c r="BR138" s="209">
        <v>0</v>
      </c>
      <c r="BS138" s="213" t="s">
        <v>73</v>
      </c>
      <c r="BT138" s="209" t="s">
        <v>278</v>
      </c>
      <c r="BU138" s="209">
        <v>0</v>
      </c>
      <c r="BV138" s="209">
        <v>0</v>
      </c>
      <c r="BW138" s="209">
        <v>0</v>
      </c>
      <c r="BX138" s="137">
        <f t="shared" si="54"/>
        <v>0</v>
      </c>
      <c r="BY138" s="101">
        <f t="shared" si="50"/>
        <v>0</v>
      </c>
      <c r="BZ138" s="101">
        <f t="shared" si="51"/>
        <v>4.1666666666666666E-3</v>
      </c>
      <c r="CA138" s="101">
        <f t="shared" si="52"/>
        <v>4.2016806722689074E-3</v>
      </c>
      <c r="CB138" s="132">
        <f t="shared" ref="CB138:CB141" si="55">BK138/AW138</f>
        <v>0</v>
      </c>
      <c r="CC138" s="32">
        <f>BI138-1</f>
        <v>240</v>
      </c>
      <c r="CD138" s="95" t="s">
        <v>73</v>
      </c>
    </row>
    <row r="139" spans="1:82" s="103" customFormat="1" ht="16">
      <c r="A139" s="149" t="s">
        <v>68</v>
      </c>
      <c r="B139" s="209">
        <v>27</v>
      </c>
      <c r="C139" s="149">
        <v>1194</v>
      </c>
      <c r="D139" s="149">
        <v>145</v>
      </c>
      <c r="E139" s="149" t="s">
        <v>531</v>
      </c>
      <c r="F139" s="149">
        <v>2018</v>
      </c>
      <c r="G139" s="149" t="s">
        <v>532</v>
      </c>
      <c r="H139" s="149" t="s">
        <v>533</v>
      </c>
      <c r="I139" s="149">
        <v>1</v>
      </c>
      <c r="J139" s="149">
        <v>2015</v>
      </c>
      <c r="K139" s="149" t="s">
        <v>73</v>
      </c>
      <c r="L139" s="149">
        <v>122</v>
      </c>
      <c r="M139" s="149" t="s">
        <v>107</v>
      </c>
      <c r="N139" s="149" t="s">
        <v>112</v>
      </c>
      <c r="O139" s="149" t="s">
        <v>156</v>
      </c>
      <c r="P139" s="149" t="s">
        <v>221</v>
      </c>
      <c r="Q139" s="149" t="s">
        <v>260</v>
      </c>
      <c r="R139" s="149" t="s">
        <v>270</v>
      </c>
      <c r="S139" s="149">
        <v>0</v>
      </c>
      <c r="T139" s="149" t="s">
        <v>224</v>
      </c>
      <c r="U139" s="149">
        <v>0</v>
      </c>
      <c r="V139" s="149" t="s">
        <v>252</v>
      </c>
      <c r="W139" s="149" t="s">
        <v>252</v>
      </c>
      <c r="X139" s="149" t="s">
        <v>534</v>
      </c>
      <c r="Y139" s="149">
        <v>0</v>
      </c>
      <c r="Z139" s="149">
        <v>1</v>
      </c>
      <c r="AA139" s="149">
        <v>1</v>
      </c>
      <c r="AB139" s="149">
        <v>0</v>
      </c>
      <c r="AC139" s="149">
        <v>0</v>
      </c>
      <c r="AD139" s="149">
        <v>0</v>
      </c>
      <c r="AE139" s="149">
        <v>0</v>
      </c>
      <c r="AF139" s="149">
        <v>0</v>
      </c>
      <c r="AG139" s="149" t="s">
        <v>535</v>
      </c>
      <c r="AH139" s="149">
        <v>0</v>
      </c>
      <c r="AI139" s="149">
        <v>0</v>
      </c>
      <c r="AJ139" s="149">
        <v>0</v>
      </c>
      <c r="AK139" s="149">
        <v>1</v>
      </c>
      <c r="AL139" s="149">
        <v>0</v>
      </c>
      <c r="AM139" s="149">
        <v>0</v>
      </c>
      <c r="AN139" s="149">
        <v>0</v>
      </c>
      <c r="AO139" s="149">
        <v>0</v>
      </c>
      <c r="AP139" s="149">
        <v>0</v>
      </c>
      <c r="AQ139" s="149" t="s">
        <v>73</v>
      </c>
      <c r="AR139" s="149" t="s">
        <v>227</v>
      </c>
      <c r="AS139" s="149" t="s">
        <v>536</v>
      </c>
      <c r="AT139" s="149" t="s">
        <v>73</v>
      </c>
      <c r="AU139" s="214" t="s">
        <v>73</v>
      </c>
      <c r="AV139" s="214" t="s">
        <v>80</v>
      </c>
      <c r="AW139" s="149">
        <v>2.8</v>
      </c>
      <c r="AX139" s="215">
        <v>0.1</v>
      </c>
      <c r="AY139" s="149">
        <v>2</v>
      </c>
      <c r="AZ139" s="19">
        <f>TINV(AX139,CC139)</f>
        <v>1.6521770093863108</v>
      </c>
      <c r="BA139" s="216">
        <f t="shared" si="53"/>
        <v>3.0075187969924528E-3</v>
      </c>
      <c r="BB139" s="216"/>
      <c r="BC139" s="149">
        <v>199.5</v>
      </c>
      <c r="BD139" s="149">
        <v>100</v>
      </c>
      <c r="BE139" s="149">
        <v>2.1</v>
      </c>
      <c r="BF139" s="149">
        <v>200.1</v>
      </c>
      <c r="BG139" s="149">
        <v>110</v>
      </c>
      <c r="BH139" s="149">
        <v>1.9</v>
      </c>
      <c r="BI139" s="149">
        <f>BG139+BD139</f>
        <v>210</v>
      </c>
      <c r="BJ139" s="149">
        <v>210</v>
      </c>
      <c r="BK139" s="149">
        <f>ABS(BC139-BF139)</f>
        <v>0.59999999999999432</v>
      </c>
      <c r="BL139" s="149" t="s">
        <v>73</v>
      </c>
      <c r="BM139" s="149" t="s">
        <v>73</v>
      </c>
      <c r="BN139" s="149" t="s">
        <v>73</v>
      </c>
      <c r="BO139" s="149" t="s">
        <v>73</v>
      </c>
      <c r="BP139" s="149">
        <v>0</v>
      </c>
      <c r="BQ139" s="149" t="s">
        <v>73</v>
      </c>
      <c r="BR139" s="149">
        <v>0</v>
      </c>
      <c r="BS139" s="205" t="s">
        <v>73</v>
      </c>
      <c r="BT139" s="149" t="s">
        <v>278</v>
      </c>
      <c r="BU139" s="149">
        <v>0</v>
      </c>
      <c r="BV139" s="149">
        <v>0</v>
      </c>
      <c r="BW139" s="149">
        <v>0</v>
      </c>
      <c r="BX139" s="130">
        <f t="shared" si="54"/>
        <v>0.10653312363426425</v>
      </c>
      <c r="BY139" s="30">
        <f t="shared" si="50"/>
        <v>0.10693891620630497</v>
      </c>
      <c r="BZ139" s="30">
        <f t="shared" si="51"/>
        <v>4.7840632510233495E-3</v>
      </c>
      <c r="CA139" s="30">
        <f t="shared" si="52"/>
        <v>4.830917874396135E-3</v>
      </c>
      <c r="CB139" s="114">
        <f t="shared" si="55"/>
        <v>0.21428571428571228</v>
      </c>
      <c r="CC139">
        <f>BI139-1</f>
        <v>209</v>
      </c>
      <c r="CD139" s="95" t="s">
        <v>73</v>
      </c>
    </row>
    <row r="140" spans="1:82" ht="16">
      <c r="A140" s="149" t="s">
        <v>68</v>
      </c>
      <c r="B140" s="209">
        <v>27</v>
      </c>
      <c r="C140" s="149">
        <v>1195</v>
      </c>
      <c r="D140" s="149">
        <v>145</v>
      </c>
      <c r="E140" s="149" t="s">
        <v>531</v>
      </c>
      <c r="F140" s="149">
        <v>2018</v>
      </c>
      <c r="G140" s="149" t="s">
        <v>532</v>
      </c>
      <c r="H140" s="149" t="s">
        <v>533</v>
      </c>
      <c r="I140" s="149">
        <v>1</v>
      </c>
      <c r="J140" s="149">
        <v>2015</v>
      </c>
      <c r="K140" s="149" t="s">
        <v>73</v>
      </c>
      <c r="L140" s="149">
        <v>122</v>
      </c>
      <c r="M140" s="149" t="s">
        <v>107</v>
      </c>
      <c r="N140" s="149" t="s">
        <v>112</v>
      </c>
      <c r="O140" s="149" t="s">
        <v>156</v>
      </c>
      <c r="P140" s="149" t="s">
        <v>221</v>
      </c>
      <c r="Q140" s="149" t="s">
        <v>260</v>
      </c>
      <c r="R140" s="149" t="s">
        <v>270</v>
      </c>
      <c r="S140" s="149">
        <v>0</v>
      </c>
      <c r="T140" s="149" t="s">
        <v>224</v>
      </c>
      <c r="U140" s="149">
        <v>0</v>
      </c>
      <c r="V140" s="149" t="s">
        <v>252</v>
      </c>
      <c r="W140" s="149" t="s">
        <v>252</v>
      </c>
      <c r="X140" s="149" t="s">
        <v>534</v>
      </c>
      <c r="Y140" s="149">
        <v>0</v>
      </c>
      <c r="Z140" s="149">
        <v>1</v>
      </c>
      <c r="AA140" s="149">
        <v>1</v>
      </c>
      <c r="AB140" s="149">
        <v>0</v>
      </c>
      <c r="AC140" s="149">
        <v>0</v>
      </c>
      <c r="AD140" s="149">
        <v>0</v>
      </c>
      <c r="AE140" s="149">
        <v>0</v>
      </c>
      <c r="AF140" s="149">
        <v>0</v>
      </c>
      <c r="AG140" s="149" t="s">
        <v>535</v>
      </c>
      <c r="AH140" s="149">
        <v>0</v>
      </c>
      <c r="AI140" s="149">
        <v>1</v>
      </c>
      <c r="AJ140" s="149">
        <v>0</v>
      </c>
      <c r="AK140" s="149">
        <v>0</v>
      </c>
      <c r="AL140" s="149">
        <v>0</v>
      </c>
      <c r="AM140" s="149">
        <v>0</v>
      </c>
      <c r="AN140" s="149">
        <v>0</v>
      </c>
      <c r="AO140" s="149">
        <v>0</v>
      </c>
      <c r="AP140" s="149">
        <v>0</v>
      </c>
      <c r="AQ140" s="149" t="s">
        <v>73</v>
      </c>
      <c r="AR140" s="149" t="s">
        <v>227</v>
      </c>
      <c r="AS140" s="149" t="s">
        <v>536</v>
      </c>
      <c r="AT140" s="149" t="s">
        <v>73</v>
      </c>
      <c r="AU140" s="214" t="s">
        <v>73</v>
      </c>
      <c r="AV140" s="214" t="s">
        <v>86</v>
      </c>
      <c r="AW140" s="149">
        <v>9.5</v>
      </c>
      <c r="AX140" s="215">
        <v>0.05</v>
      </c>
      <c r="AY140" s="149">
        <v>1</v>
      </c>
      <c r="AZ140" s="149">
        <v>1.9776</v>
      </c>
      <c r="BA140" s="216">
        <f t="shared" si="53"/>
        <v>8.0264791063301519E-2</v>
      </c>
      <c r="BB140" s="216"/>
      <c r="BC140" s="149">
        <v>241.7</v>
      </c>
      <c r="BD140" s="149">
        <v>66</v>
      </c>
      <c r="BE140" s="149">
        <v>7.5</v>
      </c>
      <c r="BF140" s="149">
        <v>222.3</v>
      </c>
      <c r="BG140" s="149">
        <v>70</v>
      </c>
      <c r="BH140" s="149">
        <v>5.8</v>
      </c>
      <c r="BI140" s="149">
        <f>BG140+BD140</f>
        <v>136</v>
      </c>
      <c r="BJ140" s="149">
        <v>136</v>
      </c>
      <c r="BK140" s="149">
        <f>ABS(BC140-BF140)</f>
        <v>19.399999999999977</v>
      </c>
      <c r="BL140" s="149" t="s">
        <v>73</v>
      </c>
      <c r="BM140" s="149" t="s">
        <v>73</v>
      </c>
      <c r="BN140" s="149" t="s">
        <v>73</v>
      </c>
      <c r="BO140" s="149" t="s">
        <v>73</v>
      </c>
      <c r="BP140" s="149">
        <v>0</v>
      </c>
      <c r="BQ140" s="149" t="s">
        <v>73</v>
      </c>
      <c r="BR140" s="149">
        <v>0</v>
      </c>
      <c r="BS140" s="205" t="s">
        <v>73</v>
      </c>
      <c r="BT140" s="149" t="s">
        <v>278</v>
      </c>
      <c r="BU140" s="149">
        <v>0</v>
      </c>
      <c r="BV140" s="149">
        <v>0</v>
      </c>
      <c r="BW140" s="149">
        <v>0</v>
      </c>
      <c r="BX140" s="130">
        <f t="shared" si="54"/>
        <v>0.71443371736545624</v>
      </c>
      <c r="BY140" s="30">
        <f t="shared" si="50"/>
        <v>0.89618197281213685</v>
      </c>
      <c r="BZ140" s="30">
        <f t="shared" si="51"/>
        <v>2.6293534933306177E-3</v>
      </c>
      <c r="CA140" s="30">
        <f t="shared" si="52"/>
        <v>7.5187969924812026E-3</v>
      </c>
      <c r="CB140" s="114">
        <f t="shared" si="55"/>
        <v>2.0421052631578922</v>
      </c>
      <c r="CC140">
        <f>BI140-1</f>
        <v>135</v>
      </c>
      <c r="CD140" s="95" t="s">
        <v>73</v>
      </c>
    </row>
    <row r="141" spans="1:82" ht="16">
      <c r="A141" s="149" t="s">
        <v>68</v>
      </c>
      <c r="B141" s="209">
        <v>27</v>
      </c>
      <c r="C141" s="149">
        <v>1196</v>
      </c>
      <c r="D141" s="149">
        <v>145</v>
      </c>
      <c r="E141" s="149" t="s">
        <v>531</v>
      </c>
      <c r="F141" s="149">
        <v>2018</v>
      </c>
      <c r="G141" s="149" t="s">
        <v>532</v>
      </c>
      <c r="H141" s="149" t="s">
        <v>533</v>
      </c>
      <c r="I141" s="149">
        <v>1</v>
      </c>
      <c r="J141" s="149">
        <v>2015</v>
      </c>
      <c r="K141" s="149" t="s">
        <v>73</v>
      </c>
      <c r="L141" s="149">
        <v>122</v>
      </c>
      <c r="M141" s="149" t="s">
        <v>107</v>
      </c>
      <c r="N141" s="149" t="s">
        <v>112</v>
      </c>
      <c r="O141" s="149" t="s">
        <v>156</v>
      </c>
      <c r="P141" s="149" t="s">
        <v>221</v>
      </c>
      <c r="Q141" s="149" t="s">
        <v>260</v>
      </c>
      <c r="R141" s="149" t="s">
        <v>270</v>
      </c>
      <c r="S141" s="149">
        <v>0</v>
      </c>
      <c r="T141" s="149" t="s">
        <v>224</v>
      </c>
      <c r="U141" s="149">
        <v>0</v>
      </c>
      <c r="V141" s="149" t="s">
        <v>252</v>
      </c>
      <c r="W141" s="149" t="s">
        <v>252</v>
      </c>
      <c r="X141" s="149" t="s">
        <v>534</v>
      </c>
      <c r="Y141" s="149">
        <v>0</v>
      </c>
      <c r="Z141" s="149">
        <v>1</v>
      </c>
      <c r="AA141" s="149">
        <v>1</v>
      </c>
      <c r="AB141" s="149">
        <v>0</v>
      </c>
      <c r="AC141" s="149">
        <v>0</v>
      </c>
      <c r="AD141" s="149">
        <v>0</v>
      </c>
      <c r="AE141" s="149">
        <v>0</v>
      </c>
      <c r="AF141" s="149">
        <v>0</v>
      </c>
      <c r="AG141" s="149" t="s">
        <v>535</v>
      </c>
      <c r="AH141" s="149">
        <v>0</v>
      </c>
      <c r="AI141" s="149">
        <v>1</v>
      </c>
      <c r="AJ141" s="149">
        <v>0</v>
      </c>
      <c r="AK141" s="149">
        <v>0</v>
      </c>
      <c r="AL141" s="149">
        <v>0</v>
      </c>
      <c r="AM141" s="149">
        <v>0</v>
      </c>
      <c r="AN141" s="149">
        <v>0</v>
      </c>
      <c r="AO141" s="149">
        <v>0</v>
      </c>
      <c r="AP141" s="149">
        <v>0</v>
      </c>
      <c r="AQ141" s="149" t="s">
        <v>73</v>
      </c>
      <c r="AR141" s="149" t="s">
        <v>227</v>
      </c>
      <c r="AS141" s="149" t="s">
        <v>536</v>
      </c>
      <c r="AT141" s="149" t="s">
        <v>73</v>
      </c>
      <c r="AU141" s="214" t="s">
        <v>73</v>
      </c>
      <c r="AV141" s="214" t="s">
        <v>86</v>
      </c>
      <c r="AW141" s="149">
        <v>9.9</v>
      </c>
      <c r="AX141" s="215">
        <v>0.05</v>
      </c>
      <c r="AY141" s="149">
        <v>1</v>
      </c>
      <c r="AZ141" s="149">
        <v>1.9776</v>
      </c>
      <c r="BA141" s="216">
        <f t="shared" si="53"/>
        <v>9.6400496483243628E-2</v>
      </c>
      <c r="BB141" s="216"/>
      <c r="BC141" s="149">
        <v>241.7</v>
      </c>
      <c r="BD141" s="149">
        <v>66</v>
      </c>
      <c r="BE141" s="149">
        <v>7.5</v>
      </c>
      <c r="BF141" s="149">
        <v>218.4</v>
      </c>
      <c r="BG141" s="149">
        <v>58</v>
      </c>
      <c r="BH141" s="149">
        <v>6.2</v>
      </c>
      <c r="BI141" s="149">
        <f>BG141+BD141</f>
        <v>124</v>
      </c>
      <c r="BJ141" s="149">
        <v>124</v>
      </c>
      <c r="BK141" s="149">
        <f>ABS(BC141-BF141)</f>
        <v>23.299999999999983</v>
      </c>
      <c r="BL141" s="149" t="s">
        <v>73</v>
      </c>
      <c r="BM141" s="149" t="s">
        <v>73</v>
      </c>
      <c r="BN141" s="149" t="s">
        <v>73</v>
      </c>
      <c r="BO141" s="149" t="s">
        <v>73</v>
      </c>
      <c r="BP141" s="149">
        <v>0</v>
      </c>
      <c r="BQ141" s="149" t="s">
        <v>73</v>
      </c>
      <c r="BR141" s="149">
        <v>0</v>
      </c>
      <c r="BS141" s="205" t="s">
        <v>73</v>
      </c>
      <c r="BT141" s="149" t="s">
        <v>278</v>
      </c>
      <c r="BU141" s="149">
        <v>0</v>
      </c>
      <c r="BV141" s="149">
        <v>0</v>
      </c>
      <c r="BW141" s="149">
        <v>0</v>
      </c>
      <c r="BX141" s="130">
        <f t="shared" si="54"/>
        <v>0.76202000564235584</v>
      </c>
      <c r="BY141" s="30">
        <f t="shared" si="50"/>
        <v>1.0010147737770376</v>
      </c>
      <c r="BZ141" s="30">
        <f t="shared" si="51"/>
        <v>-3.305103970764036E-5</v>
      </c>
      <c r="CA141" s="30">
        <f t="shared" si="52"/>
        <v>8.2644628099173556E-3</v>
      </c>
      <c r="CB141" s="114">
        <f t="shared" si="55"/>
        <v>2.3535353535353516</v>
      </c>
      <c r="CC141">
        <f>BI141-1</f>
        <v>123</v>
      </c>
      <c r="CD141" s="95" t="s">
        <v>73</v>
      </c>
    </row>
    <row r="142" spans="1:82" ht="16">
      <c r="A142" s="95" t="s">
        <v>68</v>
      </c>
      <c r="B142" s="95">
        <v>28</v>
      </c>
      <c r="C142" s="11">
        <v>1116</v>
      </c>
      <c r="D142" s="95">
        <v>123</v>
      </c>
      <c r="E142" s="95" t="s">
        <v>439</v>
      </c>
      <c r="F142" s="95">
        <v>1995</v>
      </c>
      <c r="G142" s="95" t="s">
        <v>440</v>
      </c>
      <c r="H142" s="95" t="s">
        <v>441</v>
      </c>
      <c r="I142" s="95">
        <v>2</v>
      </c>
      <c r="J142" s="95">
        <v>1995</v>
      </c>
      <c r="K142" s="95" t="s">
        <v>73</v>
      </c>
      <c r="L142" s="95">
        <v>62</v>
      </c>
      <c r="M142" s="95" t="s">
        <v>155</v>
      </c>
      <c r="N142" s="95" t="s">
        <v>268</v>
      </c>
      <c r="O142" s="95" t="s">
        <v>81</v>
      </c>
      <c r="P142" s="95" t="s">
        <v>221</v>
      </c>
      <c r="Q142" s="95" t="s">
        <v>236</v>
      </c>
      <c r="R142" s="95" t="s">
        <v>270</v>
      </c>
      <c r="S142" s="95">
        <v>0</v>
      </c>
      <c r="T142" s="159" t="s">
        <v>224</v>
      </c>
      <c r="U142" s="95">
        <v>0</v>
      </c>
      <c r="V142" s="95" t="s">
        <v>225</v>
      </c>
      <c r="W142" s="95" t="s">
        <v>225</v>
      </c>
      <c r="X142" s="95" t="s">
        <v>73</v>
      </c>
      <c r="Y142" s="95">
        <v>0</v>
      </c>
      <c r="Z142" s="95">
        <v>0</v>
      </c>
      <c r="AA142" s="95">
        <v>0</v>
      </c>
      <c r="AB142" s="95">
        <v>1</v>
      </c>
      <c r="AC142" s="95">
        <v>0</v>
      </c>
      <c r="AD142" s="95">
        <v>0</v>
      </c>
      <c r="AE142" s="95">
        <v>0</v>
      </c>
      <c r="AF142" s="95">
        <v>0</v>
      </c>
      <c r="AG142" s="95" t="s">
        <v>73</v>
      </c>
      <c r="AH142" s="95">
        <v>0</v>
      </c>
      <c r="AI142" s="95">
        <v>0</v>
      </c>
      <c r="AJ142" s="95">
        <v>0</v>
      </c>
      <c r="AK142" s="95">
        <v>1</v>
      </c>
      <c r="AL142" s="95">
        <v>0</v>
      </c>
      <c r="AM142" s="95">
        <v>0</v>
      </c>
      <c r="AN142" s="95">
        <v>0</v>
      </c>
      <c r="AO142" s="95">
        <v>0</v>
      </c>
      <c r="AP142" s="95">
        <v>0</v>
      </c>
      <c r="AQ142" s="95" t="s">
        <v>73</v>
      </c>
      <c r="AR142" s="95" t="s">
        <v>227</v>
      </c>
      <c r="AS142" s="95" t="s">
        <v>287</v>
      </c>
      <c r="AT142" s="95" t="s">
        <v>229</v>
      </c>
      <c r="AU142" s="104">
        <v>0.46400000000000002</v>
      </c>
      <c r="AV142" s="97" t="s">
        <v>86</v>
      </c>
      <c r="AW142" s="95">
        <f>AU142/AZ142</f>
        <v>0.27294117647058824</v>
      </c>
      <c r="AX142" s="95" t="s">
        <v>73</v>
      </c>
      <c r="AY142" s="95">
        <v>3</v>
      </c>
      <c r="AZ142" s="95">
        <v>1.7</v>
      </c>
      <c r="BA142" s="198">
        <f>EXP(AU142)-1</f>
        <v>0.59042297044003922</v>
      </c>
      <c r="BB142" s="112">
        <f t="shared" ref="BB142:BB153" si="56">EXP(AU142)/(1+EXP(AU142))</f>
        <v>0.61396265729139654</v>
      </c>
      <c r="BC142" s="95" t="s">
        <v>73</v>
      </c>
      <c r="BD142" s="95" t="s">
        <v>73</v>
      </c>
      <c r="BE142" s="95" t="s">
        <v>73</v>
      </c>
      <c r="BF142" s="95" t="s">
        <v>73</v>
      </c>
      <c r="BG142" s="95" t="s">
        <v>73</v>
      </c>
      <c r="BH142" s="95" t="s">
        <v>73</v>
      </c>
      <c r="BI142" s="95">
        <v>163</v>
      </c>
      <c r="BJ142" s="95">
        <v>163</v>
      </c>
      <c r="BK142" s="95" t="s">
        <v>73</v>
      </c>
      <c r="BL142" s="95" t="s">
        <v>73</v>
      </c>
      <c r="BM142" s="95" t="s">
        <v>73</v>
      </c>
      <c r="BN142" s="95" t="s">
        <v>73</v>
      </c>
      <c r="BO142" s="95" t="s">
        <v>240</v>
      </c>
      <c r="BP142" s="95">
        <v>0</v>
      </c>
      <c r="BQ142" s="95" t="s">
        <v>73</v>
      </c>
      <c r="BR142" s="95">
        <v>0</v>
      </c>
      <c r="BS142" s="95" t="s">
        <v>73</v>
      </c>
      <c r="BT142" s="95" t="s">
        <v>73</v>
      </c>
      <c r="BU142" s="95">
        <v>0</v>
      </c>
      <c r="BV142" s="95">
        <v>0</v>
      </c>
      <c r="BW142" s="95">
        <v>1</v>
      </c>
      <c r="BX142" s="30">
        <f t="shared" ref="BX142:BX153" si="57">((AZ142^2)/(AZ142^2+BI142))^(1/2)</f>
        <v>0.13198932802100058</v>
      </c>
      <c r="BY142" s="30">
        <f t="shared" si="50"/>
        <v>0.13276391084197656</v>
      </c>
      <c r="BZ142" s="30">
        <f t="shared" si="51"/>
        <v>6.1709216981397832E-3</v>
      </c>
      <c r="CA142" s="30">
        <f t="shared" si="52"/>
        <v>6.2500000000000003E-3</v>
      </c>
      <c r="CB142" s="95" t="s">
        <v>73</v>
      </c>
      <c r="CC142">
        <f t="shared" ref="CC142:CC153" si="58">BI142-2</f>
        <v>161</v>
      </c>
      <c r="CD142" s="95" t="s">
        <v>73</v>
      </c>
    </row>
    <row r="143" spans="1:82" ht="16">
      <c r="A143" s="95" t="s">
        <v>68</v>
      </c>
      <c r="B143" s="95">
        <v>28</v>
      </c>
      <c r="C143" s="11">
        <v>1117</v>
      </c>
      <c r="D143" s="95">
        <v>123</v>
      </c>
      <c r="E143" s="95" t="s">
        <v>439</v>
      </c>
      <c r="F143" s="95">
        <v>1995</v>
      </c>
      <c r="G143" s="95" t="s">
        <v>440</v>
      </c>
      <c r="H143" s="95" t="s">
        <v>441</v>
      </c>
      <c r="I143" s="95">
        <v>2</v>
      </c>
      <c r="J143" s="95">
        <v>1995</v>
      </c>
      <c r="K143" s="95" t="s">
        <v>73</v>
      </c>
      <c r="L143" s="95">
        <v>62</v>
      </c>
      <c r="M143" s="95" t="s">
        <v>155</v>
      </c>
      <c r="N143" s="95" t="s">
        <v>268</v>
      </c>
      <c r="O143" s="95" t="s">
        <v>81</v>
      </c>
      <c r="P143" s="95" t="s">
        <v>221</v>
      </c>
      <c r="Q143" s="95" t="s">
        <v>236</v>
      </c>
      <c r="R143" s="95" t="s">
        <v>270</v>
      </c>
      <c r="S143" s="95">
        <v>0</v>
      </c>
      <c r="T143" s="159" t="s">
        <v>224</v>
      </c>
      <c r="U143" s="95">
        <v>0</v>
      </c>
      <c r="V143" s="95" t="s">
        <v>225</v>
      </c>
      <c r="W143" s="95" t="s">
        <v>225</v>
      </c>
      <c r="X143" s="95" t="s">
        <v>73</v>
      </c>
      <c r="Y143" s="95">
        <v>0</v>
      </c>
      <c r="Z143" s="95">
        <v>0</v>
      </c>
      <c r="AA143" s="95">
        <v>0</v>
      </c>
      <c r="AB143" s="95">
        <v>1</v>
      </c>
      <c r="AC143" s="95">
        <v>0</v>
      </c>
      <c r="AD143" s="95">
        <v>0</v>
      </c>
      <c r="AE143" s="95">
        <v>0</v>
      </c>
      <c r="AF143" s="95">
        <v>0</v>
      </c>
      <c r="AG143" s="95" t="s">
        <v>73</v>
      </c>
      <c r="AH143" s="95">
        <v>0</v>
      </c>
      <c r="AI143" s="95">
        <v>0</v>
      </c>
      <c r="AJ143" s="95">
        <v>0</v>
      </c>
      <c r="AK143" s="95">
        <v>0</v>
      </c>
      <c r="AL143" s="95">
        <v>0</v>
      </c>
      <c r="AM143" s="95">
        <v>0</v>
      </c>
      <c r="AN143" s="95">
        <v>0</v>
      </c>
      <c r="AO143" s="95">
        <v>1</v>
      </c>
      <c r="AP143" s="95">
        <v>0</v>
      </c>
      <c r="AQ143" s="95" t="s">
        <v>73</v>
      </c>
      <c r="AR143" s="95" t="s">
        <v>227</v>
      </c>
      <c r="AS143" t="s">
        <v>287</v>
      </c>
      <c r="AT143" t="s">
        <v>229</v>
      </c>
      <c r="AU143" s="104">
        <v>0.72899999999999998</v>
      </c>
      <c r="AV143" s="97" t="s">
        <v>86</v>
      </c>
      <c r="AW143" s="95">
        <f>AU143/AZ143</f>
        <v>0.38368421052631579</v>
      </c>
      <c r="AX143" s="95" t="s">
        <v>73</v>
      </c>
      <c r="AY143" s="95">
        <v>3</v>
      </c>
      <c r="AZ143" s="95">
        <v>1.9</v>
      </c>
      <c r="BA143" s="198">
        <f>EXP(AU143)-1</f>
        <v>1.0730065642609921</v>
      </c>
      <c r="BB143" s="112">
        <f t="shared" si="56"/>
        <v>0.67458579111740891</v>
      </c>
      <c r="BC143" s="95" t="s">
        <v>73</v>
      </c>
      <c r="BD143" s="95" t="s">
        <v>73</v>
      </c>
      <c r="BE143" s="95" t="s">
        <v>73</v>
      </c>
      <c r="BF143" s="95" t="s">
        <v>73</v>
      </c>
      <c r="BG143" s="95" t="s">
        <v>73</v>
      </c>
      <c r="BH143" s="95" t="s">
        <v>73</v>
      </c>
      <c r="BI143" s="95">
        <v>68</v>
      </c>
      <c r="BJ143" s="95">
        <v>68</v>
      </c>
      <c r="BK143" s="95" t="s">
        <v>73</v>
      </c>
      <c r="BL143" s="95" t="s">
        <v>73</v>
      </c>
      <c r="BM143" s="95" t="s">
        <v>73</v>
      </c>
      <c r="BN143" s="95" t="s">
        <v>73</v>
      </c>
      <c r="BO143" s="95" t="s">
        <v>240</v>
      </c>
      <c r="BP143" s="95">
        <v>0</v>
      </c>
      <c r="BQ143" s="95" t="s">
        <v>73</v>
      </c>
      <c r="BR143" s="95">
        <v>0</v>
      </c>
      <c r="BS143" s="95" t="s">
        <v>73</v>
      </c>
      <c r="BT143" s="95" t="s">
        <v>73</v>
      </c>
      <c r="BU143" s="95">
        <v>0</v>
      </c>
      <c r="BV143" s="95">
        <v>0</v>
      </c>
      <c r="BW143" s="95">
        <v>1</v>
      </c>
      <c r="BX143" s="30">
        <f t="shared" si="57"/>
        <v>0.22452606449532778</v>
      </c>
      <c r="BY143" s="30">
        <f t="shared" si="50"/>
        <v>0.22841739493205201</v>
      </c>
      <c r="BZ143" s="30">
        <f t="shared" si="51"/>
        <v>1.4884743595396476E-2</v>
      </c>
      <c r="CA143" s="30">
        <f t="shared" si="52"/>
        <v>1.5384615384615385E-2</v>
      </c>
      <c r="CB143" s="95" t="s">
        <v>73</v>
      </c>
      <c r="CC143">
        <f t="shared" si="58"/>
        <v>66</v>
      </c>
      <c r="CD143" s="95" t="s">
        <v>73</v>
      </c>
    </row>
    <row r="144" spans="1:82" ht="16">
      <c r="A144" s="95" t="s">
        <v>68</v>
      </c>
      <c r="B144" s="95">
        <v>28</v>
      </c>
      <c r="C144" s="11">
        <v>1115</v>
      </c>
      <c r="D144" s="95">
        <v>123</v>
      </c>
      <c r="E144" s="95" t="s">
        <v>439</v>
      </c>
      <c r="F144" s="95">
        <v>1995</v>
      </c>
      <c r="G144" s="95" t="s">
        <v>440</v>
      </c>
      <c r="H144" s="95" t="s">
        <v>441</v>
      </c>
      <c r="I144" s="95">
        <v>2</v>
      </c>
      <c r="J144" s="95">
        <v>1995</v>
      </c>
      <c r="K144" s="95" t="s">
        <v>73</v>
      </c>
      <c r="L144" s="95">
        <v>62</v>
      </c>
      <c r="M144" s="95" t="s">
        <v>155</v>
      </c>
      <c r="N144" s="95" t="s">
        <v>268</v>
      </c>
      <c r="O144" s="95" t="s">
        <v>81</v>
      </c>
      <c r="P144" s="95" t="s">
        <v>269</v>
      </c>
      <c r="Q144" s="95" t="s">
        <v>236</v>
      </c>
      <c r="R144" s="95" t="s">
        <v>270</v>
      </c>
      <c r="S144" s="95">
        <v>1</v>
      </c>
      <c r="T144" s="159" t="s">
        <v>224</v>
      </c>
      <c r="U144" s="95">
        <v>0</v>
      </c>
      <c r="V144" s="95" t="s">
        <v>225</v>
      </c>
      <c r="W144" s="95" t="s">
        <v>225</v>
      </c>
      <c r="X144" s="95" t="s">
        <v>73</v>
      </c>
      <c r="Y144" s="95">
        <v>0</v>
      </c>
      <c r="Z144" s="95">
        <v>0</v>
      </c>
      <c r="AA144" s="95">
        <v>0</v>
      </c>
      <c r="AB144" s="95">
        <v>1</v>
      </c>
      <c r="AC144" s="95">
        <v>0</v>
      </c>
      <c r="AD144" s="95">
        <v>0</v>
      </c>
      <c r="AE144" s="95">
        <v>0</v>
      </c>
      <c r="AF144" s="95">
        <v>0</v>
      </c>
      <c r="AG144" s="95" t="s">
        <v>73</v>
      </c>
      <c r="AH144" s="95">
        <v>0</v>
      </c>
      <c r="AI144" s="95">
        <v>0</v>
      </c>
      <c r="AJ144" s="95">
        <v>0</v>
      </c>
      <c r="AK144" s="95">
        <v>0</v>
      </c>
      <c r="AL144" s="95">
        <v>0</v>
      </c>
      <c r="AM144" s="95">
        <v>0</v>
      </c>
      <c r="AN144" s="95">
        <v>0</v>
      </c>
      <c r="AO144" s="95">
        <v>1</v>
      </c>
      <c r="AP144" s="95">
        <v>0</v>
      </c>
      <c r="AQ144" s="95" t="s">
        <v>73</v>
      </c>
      <c r="AR144" s="95" t="s">
        <v>227</v>
      </c>
      <c r="AS144" s="95" t="s">
        <v>287</v>
      </c>
      <c r="AT144" s="95" t="s">
        <v>229</v>
      </c>
      <c r="AU144" s="172">
        <v>1.05</v>
      </c>
      <c r="AV144" s="97" t="s">
        <v>80</v>
      </c>
      <c r="AW144" s="95">
        <f>AU144/AZ144</f>
        <v>0.16666666666666669</v>
      </c>
      <c r="AX144" s="95" t="s">
        <v>73</v>
      </c>
      <c r="AY144" s="95">
        <v>3</v>
      </c>
      <c r="AZ144" s="95">
        <v>6.3</v>
      </c>
      <c r="BA144" s="173">
        <f>EXP(AU144)-1</f>
        <v>1.8576511180631639</v>
      </c>
      <c r="BB144" s="112">
        <f t="shared" si="56"/>
        <v>0.740774899182154</v>
      </c>
      <c r="BC144" s="95" t="s">
        <v>73</v>
      </c>
      <c r="BD144" s="95" t="s">
        <v>73</v>
      </c>
      <c r="BE144" s="95" t="s">
        <v>73</v>
      </c>
      <c r="BF144" s="95" t="s">
        <v>73</v>
      </c>
      <c r="BG144" s="95" t="s">
        <v>73</v>
      </c>
      <c r="BH144" s="95" t="s">
        <v>73</v>
      </c>
      <c r="BI144" s="95">
        <v>188</v>
      </c>
      <c r="BJ144" s="95">
        <v>188</v>
      </c>
      <c r="BK144" s="95" t="s">
        <v>73</v>
      </c>
      <c r="BL144" s="95" t="s">
        <v>73</v>
      </c>
      <c r="BM144" s="95" t="s">
        <v>73</v>
      </c>
      <c r="BN144" s="95" t="s">
        <v>73</v>
      </c>
      <c r="BO144" s="95" t="s">
        <v>240</v>
      </c>
      <c r="BP144" s="95">
        <v>0</v>
      </c>
      <c r="BQ144" s="95" t="s">
        <v>73</v>
      </c>
      <c r="BR144" s="95">
        <v>0</v>
      </c>
      <c r="BS144" s="95" t="s">
        <v>73</v>
      </c>
      <c r="BT144" s="95" t="s">
        <v>73</v>
      </c>
      <c r="BU144" s="95">
        <v>0</v>
      </c>
      <c r="BV144" s="95">
        <v>0</v>
      </c>
      <c r="BW144" s="95">
        <v>1</v>
      </c>
      <c r="BX144" s="30">
        <f t="shared" si="57"/>
        <v>0.41751162367646544</v>
      </c>
      <c r="BY144" s="30">
        <f t="shared" si="50"/>
        <v>0.44467450263070185</v>
      </c>
      <c r="BZ144" s="30">
        <f t="shared" si="51"/>
        <v>5.1385064509683826E-3</v>
      </c>
      <c r="CA144" s="30">
        <f t="shared" si="52"/>
        <v>5.4054054054054057E-3</v>
      </c>
      <c r="CB144" s="95" t="s">
        <v>73</v>
      </c>
      <c r="CC144">
        <f t="shared" si="58"/>
        <v>186</v>
      </c>
      <c r="CD144" s="95" t="s">
        <v>73</v>
      </c>
    </row>
    <row r="145" spans="1:82" ht="16">
      <c r="A145" s="95" t="s">
        <v>68</v>
      </c>
      <c r="B145" s="95">
        <v>28</v>
      </c>
      <c r="C145" s="11">
        <v>1114</v>
      </c>
      <c r="D145" s="95">
        <v>123</v>
      </c>
      <c r="E145" s="95" t="s">
        <v>439</v>
      </c>
      <c r="F145" s="95">
        <v>1995</v>
      </c>
      <c r="G145" s="95" t="s">
        <v>440</v>
      </c>
      <c r="H145" s="95" t="s">
        <v>441</v>
      </c>
      <c r="I145" s="95">
        <v>2</v>
      </c>
      <c r="J145" s="95">
        <v>1995</v>
      </c>
      <c r="K145" s="95" t="s">
        <v>73</v>
      </c>
      <c r="L145" s="95">
        <v>62</v>
      </c>
      <c r="M145" s="95" t="s">
        <v>155</v>
      </c>
      <c r="N145" s="95" t="s">
        <v>268</v>
      </c>
      <c r="O145" s="95" t="s">
        <v>81</v>
      </c>
      <c r="P145" s="95" t="s">
        <v>269</v>
      </c>
      <c r="Q145" s="95" t="s">
        <v>236</v>
      </c>
      <c r="R145" s="95" t="s">
        <v>270</v>
      </c>
      <c r="S145" s="95">
        <v>1</v>
      </c>
      <c r="T145" s="159" t="s">
        <v>224</v>
      </c>
      <c r="U145" s="95">
        <v>0</v>
      </c>
      <c r="V145" s="95" t="s">
        <v>225</v>
      </c>
      <c r="W145" s="95" t="s">
        <v>225</v>
      </c>
      <c r="X145" s="95" t="s">
        <v>73</v>
      </c>
      <c r="Y145" s="95">
        <v>0</v>
      </c>
      <c r="Z145" s="95">
        <v>0</v>
      </c>
      <c r="AA145" s="95">
        <v>0</v>
      </c>
      <c r="AB145" s="95">
        <v>1</v>
      </c>
      <c r="AC145" s="95">
        <v>0</v>
      </c>
      <c r="AD145" s="95">
        <v>0</v>
      </c>
      <c r="AE145" s="95">
        <v>0</v>
      </c>
      <c r="AF145" s="95">
        <v>0</v>
      </c>
      <c r="AG145" s="95" t="s">
        <v>73</v>
      </c>
      <c r="AH145" s="95">
        <v>0</v>
      </c>
      <c r="AI145" s="95">
        <v>0</v>
      </c>
      <c r="AJ145" s="95">
        <v>0</v>
      </c>
      <c r="AK145" s="95">
        <v>1</v>
      </c>
      <c r="AL145" s="95">
        <v>0</v>
      </c>
      <c r="AM145" s="95">
        <v>0</v>
      </c>
      <c r="AN145" s="95">
        <v>0</v>
      </c>
      <c r="AO145" s="95">
        <v>0</v>
      </c>
      <c r="AP145" s="95">
        <v>0</v>
      </c>
      <c r="AQ145" s="95" t="s">
        <v>73</v>
      </c>
      <c r="AR145" s="95" t="s">
        <v>227</v>
      </c>
      <c r="AS145" s="95" t="s">
        <v>287</v>
      </c>
      <c r="AT145" s="95" t="s">
        <v>229</v>
      </c>
      <c r="AU145" s="172">
        <v>1.68</v>
      </c>
      <c r="AV145" s="97" t="s">
        <v>80</v>
      </c>
      <c r="AW145" s="95">
        <f>AU145/AZ145</f>
        <v>6.4864864864864868E-2</v>
      </c>
      <c r="AX145" s="95" t="s">
        <v>73</v>
      </c>
      <c r="AY145" s="95">
        <v>3</v>
      </c>
      <c r="AZ145" s="95">
        <v>25.9</v>
      </c>
      <c r="BA145" s="173">
        <f>EXP(AU145)-1</f>
        <v>4.3655559711219745</v>
      </c>
      <c r="BB145" s="112">
        <f t="shared" si="56"/>
        <v>0.84290453111454722</v>
      </c>
      <c r="BC145" s="95" t="s">
        <v>73</v>
      </c>
      <c r="BD145" s="95" t="s">
        <v>73</v>
      </c>
      <c r="BE145" s="95" t="s">
        <v>73</v>
      </c>
      <c r="BF145" s="95" t="s">
        <v>73</v>
      </c>
      <c r="BG145" s="95" t="s">
        <v>73</v>
      </c>
      <c r="BH145" s="95" t="s">
        <v>73</v>
      </c>
      <c r="BI145" s="95">
        <v>400</v>
      </c>
      <c r="BJ145" s="95">
        <v>400</v>
      </c>
      <c r="BK145" s="95" t="s">
        <v>73</v>
      </c>
      <c r="BL145" s="95" t="s">
        <v>73</v>
      </c>
      <c r="BM145" s="95" t="s">
        <v>73</v>
      </c>
      <c r="BN145" s="95" t="s">
        <v>73</v>
      </c>
      <c r="BO145" s="95" t="s">
        <v>240</v>
      </c>
      <c r="BP145" s="95">
        <v>0</v>
      </c>
      <c r="BQ145" s="95" t="s">
        <v>73</v>
      </c>
      <c r="BR145" s="95">
        <v>0</v>
      </c>
      <c r="BS145" s="95" t="s">
        <v>73</v>
      </c>
      <c r="BT145" s="95" t="s">
        <v>73</v>
      </c>
      <c r="BU145" s="95">
        <v>0</v>
      </c>
      <c r="BV145" s="95">
        <v>0</v>
      </c>
      <c r="BW145" s="95">
        <v>1</v>
      </c>
      <c r="BX145" s="30">
        <f t="shared" si="57"/>
        <v>0.79148657877430995</v>
      </c>
      <c r="BY145" s="30">
        <f t="shared" si="50"/>
        <v>1.0753988177746068</v>
      </c>
      <c r="BZ145" s="30">
        <f t="shared" si="51"/>
        <v>-8.4574447130334037E-4</v>
      </c>
      <c r="CA145" s="30">
        <f t="shared" si="52"/>
        <v>2.5188916876574307E-3</v>
      </c>
      <c r="CB145" s="95" t="s">
        <v>73</v>
      </c>
      <c r="CC145">
        <f t="shared" si="58"/>
        <v>398</v>
      </c>
      <c r="CD145" s="95" t="s">
        <v>73</v>
      </c>
    </row>
    <row r="146" spans="1:82" ht="16">
      <c r="A146" s="11" t="s">
        <v>68</v>
      </c>
      <c r="B146" s="11">
        <v>29</v>
      </c>
      <c r="C146" s="11">
        <v>1057</v>
      </c>
      <c r="D146" s="11">
        <v>109</v>
      </c>
      <c r="E146" t="s">
        <v>378</v>
      </c>
      <c r="F146" s="11">
        <v>2013</v>
      </c>
      <c r="G146" t="s">
        <v>379</v>
      </c>
      <c r="H146" t="s">
        <v>380</v>
      </c>
      <c r="I146" s="18">
        <v>2</v>
      </c>
      <c r="J146" t="s">
        <v>102</v>
      </c>
      <c r="K146" s="10" t="s">
        <v>73</v>
      </c>
      <c r="L146">
        <v>649</v>
      </c>
      <c r="M146" t="s">
        <v>155</v>
      </c>
      <c r="N146" t="s">
        <v>381</v>
      </c>
      <c r="O146" t="s">
        <v>382</v>
      </c>
      <c r="P146" s="18" t="s">
        <v>221</v>
      </c>
      <c r="Q146" t="s">
        <v>236</v>
      </c>
      <c r="R146" t="s">
        <v>237</v>
      </c>
      <c r="S146">
        <v>0</v>
      </c>
      <c r="T146" t="s">
        <v>189</v>
      </c>
      <c r="U146">
        <v>0</v>
      </c>
      <c r="V146" s="18" t="s">
        <v>225</v>
      </c>
      <c r="W146" s="18" t="s">
        <v>225</v>
      </c>
      <c r="X146" s="18" t="s">
        <v>73</v>
      </c>
      <c r="Y146">
        <v>0</v>
      </c>
      <c r="Z146">
        <v>0</v>
      </c>
      <c r="AA146">
        <v>0</v>
      </c>
      <c r="AB146">
        <v>1</v>
      </c>
      <c r="AC146">
        <v>0</v>
      </c>
      <c r="AD146">
        <v>0</v>
      </c>
      <c r="AE146">
        <v>0</v>
      </c>
      <c r="AF146">
        <v>0</v>
      </c>
      <c r="AG146" t="s">
        <v>73</v>
      </c>
      <c r="AH146">
        <v>0</v>
      </c>
      <c r="AI146">
        <v>0</v>
      </c>
      <c r="AJ146">
        <v>0</v>
      </c>
      <c r="AK146">
        <v>0</v>
      </c>
      <c r="AL146">
        <v>0</v>
      </c>
      <c r="AM146">
        <v>0</v>
      </c>
      <c r="AN146">
        <v>1</v>
      </c>
      <c r="AO146">
        <v>0</v>
      </c>
      <c r="AP146">
        <v>0</v>
      </c>
      <c r="AQ146" t="s">
        <v>383</v>
      </c>
      <c r="AR146" s="95" t="s">
        <v>227</v>
      </c>
      <c r="AS146" s="95" t="s">
        <v>384</v>
      </c>
      <c r="AT146" s="95" t="s">
        <v>273</v>
      </c>
      <c r="AU146" s="138">
        <v>0.16</v>
      </c>
      <c r="AV146" s="7" t="s">
        <v>80</v>
      </c>
      <c r="AW146">
        <v>0.06</v>
      </c>
      <c r="AX146">
        <v>0.05</v>
      </c>
      <c r="AY146">
        <v>1</v>
      </c>
      <c r="AZ146">
        <f t="shared" ref="AZ146:AZ153" si="59">AU146/AW146</f>
        <v>2.666666666666667</v>
      </c>
      <c r="BA146" s="191">
        <v>0.16</v>
      </c>
      <c r="BB146" s="112">
        <f t="shared" si="56"/>
        <v>0.53991488455556569</v>
      </c>
      <c r="BC146" t="s">
        <v>73</v>
      </c>
      <c r="BD146" t="s">
        <v>73</v>
      </c>
      <c r="BE146" t="s">
        <v>73</v>
      </c>
      <c r="BF146" t="s">
        <v>73</v>
      </c>
      <c r="BG146">
        <v>408</v>
      </c>
      <c r="BH146" t="s">
        <v>73</v>
      </c>
      <c r="BI146">
        <v>408</v>
      </c>
      <c r="BJ146">
        <v>408</v>
      </c>
      <c r="BK146" t="s">
        <v>73</v>
      </c>
      <c r="BL146" t="s">
        <v>73</v>
      </c>
      <c r="BM146">
        <v>1000</v>
      </c>
      <c r="BN146" t="s">
        <v>385</v>
      </c>
      <c r="BO146" t="s">
        <v>73</v>
      </c>
      <c r="BP146" t="s">
        <v>73</v>
      </c>
      <c r="BQ146" t="s">
        <v>73</v>
      </c>
      <c r="BR146" t="s">
        <v>73</v>
      </c>
      <c r="BS146" t="s">
        <v>73</v>
      </c>
      <c r="BT146" t="s">
        <v>73</v>
      </c>
      <c r="BU146" s="18">
        <v>1</v>
      </c>
      <c r="BV146" s="18">
        <v>0</v>
      </c>
      <c r="BW146" s="18">
        <v>1</v>
      </c>
      <c r="BX146" s="30">
        <f t="shared" si="57"/>
        <v>0.13088399820073771</v>
      </c>
      <c r="BY146" s="30">
        <f t="shared" si="50"/>
        <v>0.13163914998451526</v>
      </c>
      <c r="BZ146" s="30">
        <f t="shared" si="51"/>
        <v>2.456264644741489E-3</v>
      </c>
      <c r="CA146" s="30">
        <f t="shared" si="52"/>
        <v>2.4691358024691358E-3</v>
      </c>
      <c r="CB146" s="95" t="s">
        <v>73</v>
      </c>
      <c r="CC146">
        <f t="shared" si="58"/>
        <v>406</v>
      </c>
      <c r="CD146" s="95" t="s">
        <v>73</v>
      </c>
    </row>
    <row r="147" spans="1:82" ht="16">
      <c r="A147" s="11" t="s">
        <v>68</v>
      </c>
      <c r="B147" s="11">
        <v>29</v>
      </c>
      <c r="C147" s="11">
        <v>1054</v>
      </c>
      <c r="D147" s="11">
        <v>109</v>
      </c>
      <c r="E147" t="s">
        <v>378</v>
      </c>
      <c r="F147" s="11">
        <v>2013</v>
      </c>
      <c r="G147" t="s">
        <v>379</v>
      </c>
      <c r="H147" t="s">
        <v>380</v>
      </c>
      <c r="I147" s="18">
        <v>2</v>
      </c>
      <c r="J147" t="s">
        <v>102</v>
      </c>
      <c r="K147" s="10" t="s">
        <v>73</v>
      </c>
      <c r="L147">
        <v>649</v>
      </c>
      <c r="M147" t="s">
        <v>155</v>
      </c>
      <c r="N147" t="s">
        <v>381</v>
      </c>
      <c r="O147" t="s">
        <v>382</v>
      </c>
      <c r="P147" s="18" t="s">
        <v>221</v>
      </c>
      <c r="Q147" t="s">
        <v>236</v>
      </c>
      <c r="R147" t="s">
        <v>237</v>
      </c>
      <c r="S147">
        <v>0</v>
      </c>
      <c r="T147" t="s">
        <v>189</v>
      </c>
      <c r="U147">
        <v>0</v>
      </c>
      <c r="V147" s="18" t="s">
        <v>225</v>
      </c>
      <c r="W147" s="18" t="s">
        <v>225</v>
      </c>
      <c r="X147" s="18" t="s">
        <v>73</v>
      </c>
      <c r="Y147">
        <v>0</v>
      </c>
      <c r="Z147">
        <v>0</v>
      </c>
      <c r="AA147">
        <v>0</v>
      </c>
      <c r="AB147">
        <v>1</v>
      </c>
      <c r="AC147">
        <v>0</v>
      </c>
      <c r="AD147">
        <v>0</v>
      </c>
      <c r="AE147">
        <v>0</v>
      </c>
      <c r="AF147">
        <v>0</v>
      </c>
      <c r="AG147" t="s">
        <v>73</v>
      </c>
      <c r="AH147">
        <v>0</v>
      </c>
      <c r="AI147">
        <v>0</v>
      </c>
      <c r="AJ147">
        <v>0</v>
      </c>
      <c r="AK147">
        <v>0</v>
      </c>
      <c r="AL147">
        <v>0</v>
      </c>
      <c r="AM147">
        <v>0</v>
      </c>
      <c r="AN147">
        <v>1</v>
      </c>
      <c r="AO147">
        <v>0</v>
      </c>
      <c r="AP147">
        <v>0</v>
      </c>
      <c r="AQ147" t="s">
        <v>383</v>
      </c>
      <c r="AR147" s="95" t="s">
        <v>227</v>
      </c>
      <c r="AS147" s="95" t="s">
        <v>384</v>
      </c>
      <c r="AT147" s="95" t="s">
        <v>273</v>
      </c>
      <c r="AU147" s="138">
        <v>0.19</v>
      </c>
      <c r="AV147" s="7" t="s">
        <v>80</v>
      </c>
      <c r="AW147">
        <v>0.06</v>
      </c>
      <c r="AX147">
        <v>0.05</v>
      </c>
      <c r="AY147">
        <v>1</v>
      </c>
      <c r="AZ147">
        <f t="shared" si="59"/>
        <v>3.166666666666667</v>
      </c>
      <c r="BA147" s="191">
        <v>0.19</v>
      </c>
      <c r="BB147" s="112">
        <f t="shared" si="56"/>
        <v>0.54735761814308925</v>
      </c>
      <c r="BC147" t="s">
        <v>73</v>
      </c>
      <c r="BD147" t="s">
        <v>73</v>
      </c>
      <c r="BE147" t="s">
        <v>73</v>
      </c>
      <c r="BF147" t="s">
        <v>73</v>
      </c>
      <c r="BG147">
        <v>408</v>
      </c>
      <c r="BH147" t="s">
        <v>73</v>
      </c>
      <c r="BI147">
        <v>408</v>
      </c>
      <c r="BJ147">
        <v>408</v>
      </c>
      <c r="BK147" t="s">
        <v>73</v>
      </c>
      <c r="BL147" t="s">
        <v>73</v>
      </c>
      <c r="BM147">
        <v>1000</v>
      </c>
      <c r="BN147" t="s">
        <v>385</v>
      </c>
      <c r="BO147" t="s">
        <v>73</v>
      </c>
      <c r="BP147" t="s">
        <v>73</v>
      </c>
      <c r="BQ147" t="s">
        <v>73</v>
      </c>
      <c r="BR147" t="s">
        <v>73</v>
      </c>
      <c r="BS147" t="s">
        <v>73</v>
      </c>
      <c r="BT147" t="s">
        <v>73</v>
      </c>
      <c r="BU147" s="18">
        <v>0</v>
      </c>
      <c r="BV147" s="18">
        <v>0</v>
      </c>
      <c r="BW147" s="18">
        <v>0</v>
      </c>
      <c r="BX147" s="30">
        <f t="shared" si="57"/>
        <v>0.15488158338148386</v>
      </c>
      <c r="BY147" s="30">
        <f t="shared" si="50"/>
        <v>0.15613816847007514</v>
      </c>
      <c r="BZ147" s="30">
        <f t="shared" si="51"/>
        <v>2.4555421575795317E-3</v>
      </c>
      <c r="CA147" s="30">
        <f t="shared" si="52"/>
        <v>2.4691358024691358E-3</v>
      </c>
      <c r="CB147" s="95" t="s">
        <v>73</v>
      </c>
      <c r="CC147">
        <f t="shared" si="58"/>
        <v>406</v>
      </c>
      <c r="CD147" s="95" t="s">
        <v>73</v>
      </c>
    </row>
    <row r="148" spans="1:82" ht="16">
      <c r="A148" s="11" t="s">
        <v>68</v>
      </c>
      <c r="B148" s="11">
        <v>29</v>
      </c>
      <c r="C148" s="11">
        <v>1056</v>
      </c>
      <c r="D148" s="11">
        <v>109</v>
      </c>
      <c r="E148" t="s">
        <v>378</v>
      </c>
      <c r="F148" s="11">
        <v>2013</v>
      </c>
      <c r="G148" t="s">
        <v>379</v>
      </c>
      <c r="H148" t="s">
        <v>380</v>
      </c>
      <c r="I148" s="18">
        <v>2</v>
      </c>
      <c r="J148" t="s">
        <v>102</v>
      </c>
      <c r="K148" s="10" t="s">
        <v>73</v>
      </c>
      <c r="L148">
        <v>649</v>
      </c>
      <c r="M148" t="s">
        <v>155</v>
      </c>
      <c r="N148" t="s">
        <v>381</v>
      </c>
      <c r="O148" t="s">
        <v>382</v>
      </c>
      <c r="P148" s="18" t="s">
        <v>221</v>
      </c>
      <c r="Q148" t="s">
        <v>236</v>
      </c>
      <c r="R148" t="s">
        <v>237</v>
      </c>
      <c r="S148">
        <v>0</v>
      </c>
      <c r="T148" t="s">
        <v>189</v>
      </c>
      <c r="U148">
        <v>0</v>
      </c>
      <c r="V148" s="18" t="s">
        <v>225</v>
      </c>
      <c r="W148" s="18" t="s">
        <v>225</v>
      </c>
      <c r="X148" s="18" t="s">
        <v>73</v>
      </c>
      <c r="Y148">
        <v>0</v>
      </c>
      <c r="Z148">
        <v>0</v>
      </c>
      <c r="AA148">
        <v>0</v>
      </c>
      <c r="AB148">
        <v>1</v>
      </c>
      <c r="AC148">
        <v>0</v>
      </c>
      <c r="AD148">
        <v>0</v>
      </c>
      <c r="AE148">
        <v>0</v>
      </c>
      <c r="AF148">
        <v>0</v>
      </c>
      <c r="AG148" t="s">
        <v>73</v>
      </c>
      <c r="AH148">
        <v>0</v>
      </c>
      <c r="AI148">
        <v>0</v>
      </c>
      <c r="AJ148">
        <v>0</v>
      </c>
      <c r="AK148">
        <v>0</v>
      </c>
      <c r="AL148">
        <v>0</v>
      </c>
      <c r="AM148">
        <v>0</v>
      </c>
      <c r="AN148">
        <v>1</v>
      </c>
      <c r="AO148">
        <v>0</v>
      </c>
      <c r="AP148">
        <v>0</v>
      </c>
      <c r="AQ148" t="s">
        <v>383</v>
      </c>
      <c r="AR148" s="95" t="s">
        <v>227</v>
      </c>
      <c r="AS148" s="95" t="s">
        <v>409</v>
      </c>
      <c r="AT148" s="95" t="s">
        <v>273</v>
      </c>
      <c r="AU148" s="138">
        <v>0.25</v>
      </c>
      <c r="AV148" s="7" t="s">
        <v>86</v>
      </c>
      <c r="AW148">
        <v>0.13</v>
      </c>
      <c r="AX148">
        <v>0.1</v>
      </c>
      <c r="AY148">
        <v>1</v>
      </c>
      <c r="AZ148">
        <f t="shared" si="59"/>
        <v>1.9230769230769229</v>
      </c>
      <c r="BA148" s="191">
        <v>0.25</v>
      </c>
      <c r="BB148" s="112">
        <f t="shared" si="56"/>
        <v>0.56217650088579807</v>
      </c>
      <c r="BC148" t="s">
        <v>73</v>
      </c>
      <c r="BD148" t="s">
        <v>73</v>
      </c>
      <c r="BE148" t="s">
        <v>73</v>
      </c>
      <c r="BF148" t="s">
        <v>73</v>
      </c>
      <c r="BG148">
        <v>408</v>
      </c>
      <c r="BH148" t="s">
        <v>73</v>
      </c>
      <c r="BI148">
        <v>408</v>
      </c>
      <c r="BJ148">
        <v>408</v>
      </c>
      <c r="BK148" t="s">
        <v>73</v>
      </c>
      <c r="BL148" t="s">
        <v>73</v>
      </c>
      <c r="BM148">
        <v>300</v>
      </c>
      <c r="BN148" t="s">
        <v>410</v>
      </c>
      <c r="BO148" t="s">
        <v>73</v>
      </c>
      <c r="BP148" t="s">
        <v>73</v>
      </c>
      <c r="BQ148" t="s">
        <v>73</v>
      </c>
      <c r="BR148" t="s">
        <v>73</v>
      </c>
      <c r="BS148" t="s">
        <v>73</v>
      </c>
      <c r="BT148" t="s">
        <v>73</v>
      </c>
      <c r="BU148" s="18">
        <v>1</v>
      </c>
      <c r="BV148" s="18">
        <v>0</v>
      </c>
      <c r="BW148" s="18">
        <v>1</v>
      </c>
      <c r="BX148" s="30">
        <f t="shared" si="57"/>
        <v>9.4777916885651653E-2</v>
      </c>
      <c r="BY148" s="30">
        <f t="shared" si="50"/>
        <v>9.5063248374700635E-2</v>
      </c>
      <c r="BZ148" s="30">
        <f t="shared" si="51"/>
        <v>2.4568017991350942E-3</v>
      </c>
      <c r="CA148" s="30">
        <f t="shared" si="52"/>
        <v>2.4691358024691358E-3</v>
      </c>
      <c r="CB148" s="95" t="s">
        <v>73</v>
      </c>
      <c r="CC148">
        <f t="shared" si="58"/>
        <v>406</v>
      </c>
      <c r="CD148" s="95" t="s">
        <v>73</v>
      </c>
    </row>
    <row r="149" spans="1:82" ht="16">
      <c r="A149" s="11" t="s">
        <v>68</v>
      </c>
      <c r="B149" s="11">
        <v>29</v>
      </c>
      <c r="C149" s="11">
        <v>1053</v>
      </c>
      <c r="D149" s="11">
        <v>109</v>
      </c>
      <c r="E149" t="s">
        <v>378</v>
      </c>
      <c r="F149" s="11">
        <v>2013</v>
      </c>
      <c r="G149" t="s">
        <v>379</v>
      </c>
      <c r="H149" t="s">
        <v>380</v>
      </c>
      <c r="I149" s="18">
        <v>2</v>
      </c>
      <c r="J149" t="s">
        <v>102</v>
      </c>
      <c r="K149" s="10" t="s">
        <v>73</v>
      </c>
      <c r="L149">
        <v>649</v>
      </c>
      <c r="M149" t="s">
        <v>155</v>
      </c>
      <c r="N149" t="s">
        <v>381</v>
      </c>
      <c r="O149" t="s">
        <v>382</v>
      </c>
      <c r="P149" s="18" t="s">
        <v>221</v>
      </c>
      <c r="Q149" t="s">
        <v>236</v>
      </c>
      <c r="R149" t="s">
        <v>237</v>
      </c>
      <c r="S149">
        <v>0</v>
      </c>
      <c r="T149" t="s">
        <v>189</v>
      </c>
      <c r="U149">
        <v>0</v>
      </c>
      <c r="V149" s="18" t="s">
        <v>225</v>
      </c>
      <c r="W149" s="18" t="s">
        <v>225</v>
      </c>
      <c r="X149" s="18" t="s">
        <v>73</v>
      </c>
      <c r="Y149">
        <v>0</v>
      </c>
      <c r="Z149">
        <v>0</v>
      </c>
      <c r="AA149">
        <v>0</v>
      </c>
      <c r="AB149">
        <v>1</v>
      </c>
      <c r="AC149">
        <v>0</v>
      </c>
      <c r="AD149">
        <v>0</v>
      </c>
      <c r="AE149">
        <v>0</v>
      </c>
      <c r="AF149">
        <v>0</v>
      </c>
      <c r="AG149" t="s">
        <v>73</v>
      </c>
      <c r="AH149">
        <v>0</v>
      </c>
      <c r="AI149">
        <v>0</v>
      </c>
      <c r="AJ149">
        <v>0</v>
      </c>
      <c r="AK149">
        <v>0</v>
      </c>
      <c r="AL149">
        <v>0</v>
      </c>
      <c r="AM149">
        <v>0</v>
      </c>
      <c r="AN149">
        <v>1</v>
      </c>
      <c r="AO149">
        <v>0</v>
      </c>
      <c r="AP149">
        <v>0</v>
      </c>
      <c r="AQ149" t="s">
        <v>383</v>
      </c>
      <c r="AR149" s="95" t="s">
        <v>227</v>
      </c>
      <c r="AS149" s="95" t="s">
        <v>409</v>
      </c>
      <c r="AT149" s="95" t="s">
        <v>273</v>
      </c>
      <c r="AU149" s="138">
        <v>0.27</v>
      </c>
      <c r="AV149" s="7" t="s">
        <v>86</v>
      </c>
      <c r="AW149">
        <v>0.11</v>
      </c>
      <c r="AX149">
        <v>0.05</v>
      </c>
      <c r="AY149">
        <v>1</v>
      </c>
      <c r="AZ149">
        <f t="shared" si="59"/>
        <v>2.4545454545454546</v>
      </c>
      <c r="BA149" s="191">
        <v>0.27</v>
      </c>
      <c r="BB149" s="112">
        <f t="shared" si="56"/>
        <v>0.56709290496545439</v>
      </c>
      <c r="BC149" t="s">
        <v>73</v>
      </c>
      <c r="BD149" t="s">
        <v>73</v>
      </c>
      <c r="BE149" t="s">
        <v>73</v>
      </c>
      <c r="BF149" t="s">
        <v>73</v>
      </c>
      <c r="BG149">
        <v>408</v>
      </c>
      <c r="BH149" t="s">
        <v>73</v>
      </c>
      <c r="BI149">
        <v>408</v>
      </c>
      <c r="BJ149">
        <v>408</v>
      </c>
      <c r="BK149" t="s">
        <v>73</v>
      </c>
      <c r="BL149" t="s">
        <v>73</v>
      </c>
      <c r="BM149">
        <v>300</v>
      </c>
      <c r="BN149" t="s">
        <v>410</v>
      </c>
      <c r="BO149" t="s">
        <v>73</v>
      </c>
      <c r="BP149" t="s">
        <v>73</v>
      </c>
      <c r="BQ149" t="s">
        <v>73</v>
      </c>
      <c r="BR149" t="s">
        <v>73</v>
      </c>
      <c r="BS149" t="s">
        <v>73</v>
      </c>
      <c r="BT149" t="s">
        <v>73</v>
      </c>
      <c r="BU149" s="18">
        <v>0</v>
      </c>
      <c r="BV149" s="18">
        <v>0</v>
      </c>
      <c r="BW149" s="18">
        <v>0</v>
      </c>
      <c r="BX149" s="30">
        <f t="shared" si="57"/>
        <v>0.12063071568651137</v>
      </c>
      <c r="BY149" s="30">
        <f t="shared" si="50"/>
        <v>0.12122100832937013</v>
      </c>
      <c r="BZ149" s="30">
        <f t="shared" si="51"/>
        <v>2.4564719181916828E-3</v>
      </c>
      <c r="CA149" s="30">
        <f t="shared" si="52"/>
        <v>2.4691358024691358E-3</v>
      </c>
      <c r="CB149" s="95" t="s">
        <v>73</v>
      </c>
      <c r="CC149">
        <f t="shared" si="58"/>
        <v>406</v>
      </c>
      <c r="CD149" s="95" t="s">
        <v>73</v>
      </c>
    </row>
    <row r="150" spans="1:82" ht="16">
      <c r="A150" s="11" t="s">
        <v>68</v>
      </c>
      <c r="B150" s="11">
        <v>29</v>
      </c>
      <c r="C150" s="11">
        <v>1058</v>
      </c>
      <c r="D150" s="11">
        <v>109</v>
      </c>
      <c r="E150" t="s">
        <v>378</v>
      </c>
      <c r="F150" s="11">
        <v>2013</v>
      </c>
      <c r="G150" t="s">
        <v>379</v>
      </c>
      <c r="H150" t="s">
        <v>380</v>
      </c>
      <c r="I150" s="18">
        <v>2</v>
      </c>
      <c r="J150" t="s">
        <v>102</v>
      </c>
      <c r="K150" s="10" t="s">
        <v>73</v>
      </c>
      <c r="L150">
        <v>649</v>
      </c>
      <c r="M150" t="s">
        <v>155</v>
      </c>
      <c r="N150" t="s">
        <v>381</v>
      </c>
      <c r="O150" t="s">
        <v>382</v>
      </c>
      <c r="P150" s="18" t="s">
        <v>221</v>
      </c>
      <c r="Q150" t="s">
        <v>236</v>
      </c>
      <c r="R150" t="s">
        <v>237</v>
      </c>
      <c r="S150">
        <v>0</v>
      </c>
      <c r="T150" t="s">
        <v>189</v>
      </c>
      <c r="U150">
        <v>0</v>
      </c>
      <c r="V150" s="18" t="s">
        <v>225</v>
      </c>
      <c r="W150" s="18" t="s">
        <v>225</v>
      </c>
      <c r="X150" s="18" t="s">
        <v>73</v>
      </c>
      <c r="Y150">
        <v>0</v>
      </c>
      <c r="Z150">
        <v>0</v>
      </c>
      <c r="AA150">
        <v>0</v>
      </c>
      <c r="AB150">
        <v>1</v>
      </c>
      <c r="AC150">
        <v>0</v>
      </c>
      <c r="AD150">
        <v>0</v>
      </c>
      <c r="AE150">
        <v>0</v>
      </c>
      <c r="AF150">
        <v>0</v>
      </c>
      <c r="AG150" t="s">
        <v>73</v>
      </c>
      <c r="AH150">
        <v>0</v>
      </c>
      <c r="AI150">
        <v>0</v>
      </c>
      <c r="AJ150">
        <v>0</v>
      </c>
      <c r="AK150">
        <v>0</v>
      </c>
      <c r="AL150">
        <v>0</v>
      </c>
      <c r="AM150">
        <v>0</v>
      </c>
      <c r="AN150">
        <v>1</v>
      </c>
      <c r="AO150">
        <v>0</v>
      </c>
      <c r="AP150">
        <v>0</v>
      </c>
      <c r="AQ150" t="s">
        <v>433</v>
      </c>
      <c r="AR150" s="95" t="s">
        <v>227</v>
      </c>
      <c r="AS150" s="95" t="s">
        <v>384</v>
      </c>
      <c r="AT150" s="95" t="s">
        <v>273</v>
      </c>
      <c r="AU150" s="138">
        <v>0.41</v>
      </c>
      <c r="AV150" s="7" t="s">
        <v>80</v>
      </c>
      <c r="AW150">
        <v>0.08</v>
      </c>
      <c r="AX150">
        <v>0.05</v>
      </c>
      <c r="AY150">
        <v>1</v>
      </c>
      <c r="AZ150">
        <f t="shared" si="59"/>
        <v>5.125</v>
      </c>
      <c r="BA150" s="191">
        <v>0.41</v>
      </c>
      <c r="BB150" s="112">
        <f t="shared" si="56"/>
        <v>0.60108787884836967</v>
      </c>
      <c r="BC150" t="s">
        <v>73</v>
      </c>
      <c r="BD150" t="s">
        <v>73</v>
      </c>
      <c r="BE150" t="s">
        <v>73</v>
      </c>
      <c r="BF150" t="s">
        <v>73</v>
      </c>
      <c r="BG150">
        <v>504</v>
      </c>
      <c r="BH150" t="s">
        <v>73</v>
      </c>
      <c r="BI150">
        <v>504</v>
      </c>
      <c r="BJ150">
        <v>504</v>
      </c>
      <c r="BK150" t="s">
        <v>73</v>
      </c>
      <c r="BL150" t="s">
        <v>73</v>
      </c>
      <c r="BM150">
        <v>1000</v>
      </c>
      <c r="BN150" t="s">
        <v>385</v>
      </c>
      <c r="BO150" t="s">
        <v>73</v>
      </c>
      <c r="BP150" t="s">
        <v>73</v>
      </c>
      <c r="BQ150" t="s">
        <v>73</v>
      </c>
      <c r="BR150" t="s">
        <v>73</v>
      </c>
      <c r="BS150" t="s">
        <v>73</v>
      </c>
      <c r="BT150" t="s">
        <v>73</v>
      </c>
      <c r="BU150" s="18">
        <v>1</v>
      </c>
      <c r="BV150" s="18">
        <v>0</v>
      </c>
      <c r="BW150" s="18">
        <v>1</v>
      </c>
      <c r="BX150" s="30">
        <f t="shared" si="57"/>
        <v>0.22256001017320373</v>
      </c>
      <c r="BY150" s="30">
        <f t="shared" si="50"/>
        <v>0.22634792532420528</v>
      </c>
      <c r="BZ150" s="30">
        <f t="shared" si="51"/>
        <v>1.9828531619001622E-3</v>
      </c>
      <c r="CA150" s="30">
        <f t="shared" si="52"/>
        <v>1.996007984031936E-3</v>
      </c>
      <c r="CB150" s="95" t="s">
        <v>73</v>
      </c>
      <c r="CC150">
        <f t="shared" si="58"/>
        <v>502</v>
      </c>
      <c r="CD150" s="95" t="s">
        <v>73</v>
      </c>
    </row>
    <row r="151" spans="1:82" ht="16">
      <c r="A151" s="11" t="s">
        <v>68</v>
      </c>
      <c r="B151" s="11">
        <v>29</v>
      </c>
      <c r="C151" s="11">
        <v>1055</v>
      </c>
      <c r="D151" s="11">
        <v>109</v>
      </c>
      <c r="E151" t="s">
        <v>378</v>
      </c>
      <c r="F151" s="11">
        <v>2013</v>
      </c>
      <c r="G151" t="s">
        <v>379</v>
      </c>
      <c r="H151" t="s">
        <v>380</v>
      </c>
      <c r="I151" s="18">
        <v>2</v>
      </c>
      <c r="J151" t="s">
        <v>102</v>
      </c>
      <c r="K151" s="10" t="s">
        <v>73</v>
      </c>
      <c r="L151">
        <v>649</v>
      </c>
      <c r="M151" t="s">
        <v>155</v>
      </c>
      <c r="N151" t="s">
        <v>381</v>
      </c>
      <c r="O151" t="s">
        <v>382</v>
      </c>
      <c r="P151" s="18" t="s">
        <v>221</v>
      </c>
      <c r="Q151" t="s">
        <v>236</v>
      </c>
      <c r="R151" t="s">
        <v>237</v>
      </c>
      <c r="S151">
        <v>0</v>
      </c>
      <c r="T151" t="s">
        <v>189</v>
      </c>
      <c r="U151">
        <v>0</v>
      </c>
      <c r="V151" s="18" t="s">
        <v>225</v>
      </c>
      <c r="W151" s="18" t="s">
        <v>225</v>
      </c>
      <c r="X151" s="18" t="s">
        <v>73</v>
      </c>
      <c r="Y151">
        <v>0</v>
      </c>
      <c r="Z151">
        <v>0</v>
      </c>
      <c r="AA151">
        <v>0</v>
      </c>
      <c r="AB151">
        <v>1</v>
      </c>
      <c r="AC151">
        <v>0</v>
      </c>
      <c r="AD151">
        <v>0</v>
      </c>
      <c r="AE151">
        <v>0</v>
      </c>
      <c r="AF151">
        <v>0</v>
      </c>
      <c r="AG151" t="s">
        <v>73</v>
      </c>
      <c r="AH151">
        <v>0</v>
      </c>
      <c r="AI151">
        <v>0</v>
      </c>
      <c r="AJ151">
        <v>0</v>
      </c>
      <c r="AK151">
        <v>0</v>
      </c>
      <c r="AL151">
        <v>0</v>
      </c>
      <c r="AM151">
        <v>0</v>
      </c>
      <c r="AN151">
        <v>1</v>
      </c>
      <c r="AO151">
        <v>0</v>
      </c>
      <c r="AP151">
        <v>0</v>
      </c>
      <c r="AQ151" t="s">
        <v>433</v>
      </c>
      <c r="AR151" s="95" t="s">
        <v>227</v>
      </c>
      <c r="AS151" s="95" t="s">
        <v>384</v>
      </c>
      <c r="AT151" s="95" t="s">
        <v>273</v>
      </c>
      <c r="AU151" s="138">
        <v>0.43</v>
      </c>
      <c r="AV151" s="7" t="s">
        <v>80</v>
      </c>
      <c r="AW151">
        <v>0.06</v>
      </c>
      <c r="AX151">
        <v>0.05</v>
      </c>
      <c r="AY151">
        <v>1</v>
      </c>
      <c r="AZ151">
        <f t="shared" si="59"/>
        <v>7.166666666666667</v>
      </c>
      <c r="BA151" s="191">
        <v>0.43</v>
      </c>
      <c r="BB151" s="112">
        <f t="shared" si="56"/>
        <v>0.6058736684317606</v>
      </c>
      <c r="BC151" t="s">
        <v>73</v>
      </c>
      <c r="BD151" t="s">
        <v>73</v>
      </c>
      <c r="BE151" t="s">
        <v>73</v>
      </c>
      <c r="BF151" t="s">
        <v>73</v>
      </c>
      <c r="BG151">
        <v>504</v>
      </c>
      <c r="BH151" t="s">
        <v>73</v>
      </c>
      <c r="BI151">
        <v>504</v>
      </c>
      <c r="BJ151">
        <v>504</v>
      </c>
      <c r="BK151" t="s">
        <v>73</v>
      </c>
      <c r="BL151" t="s">
        <v>73</v>
      </c>
      <c r="BM151">
        <v>1000</v>
      </c>
      <c r="BN151" t="s">
        <v>385</v>
      </c>
      <c r="BO151" t="s">
        <v>73</v>
      </c>
      <c r="BP151" t="s">
        <v>73</v>
      </c>
      <c r="BQ151" t="s">
        <v>73</v>
      </c>
      <c r="BR151" t="s">
        <v>73</v>
      </c>
      <c r="BS151" t="s">
        <v>73</v>
      </c>
      <c r="BT151" t="s">
        <v>73</v>
      </c>
      <c r="BU151" s="18">
        <v>0</v>
      </c>
      <c r="BV151" s="18">
        <v>0</v>
      </c>
      <c r="BW151" s="18">
        <v>0</v>
      </c>
      <c r="BX151" s="30">
        <f t="shared" si="57"/>
        <v>0.30410913966714348</v>
      </c>
      <c r="BY151" s="30">
        <f t="shared" si="50"/>
        <v>0.31404129843807849</v>
      </c>
      <c r="BZ151" s="30">
        <f t="shared" si="51"/>
        <v>1.96873501693395E-3</v>
      </c>
      <c r="CA151" s="30">
        <f t="shared" si="52"/>
        <v>1.996007984031936E-3</v>
      </c>
      <c r="CB151" s="95" t="s">
        <v>73</v>
      </c>
      <c r="CC151">
        <f t="shared" si="58"/>
        <v>502</v>
      </c>
      <c r="CD151" s="95" t="s">
        <v>73</v>
      </c>
    </row>
    <row r="152" spans="1:82" s="32" customFormat="1" ht="16">
      <c r="A152" s="115" t="s">
        <v>68</v>
      </c>
      <c r="B152" s="115">
        <v>30</v>
      </c>
      <c r="C152" s="115">
        <v>1147</v>
      </c>
      <c r="D152" s="159">
        <v>132</v>
      </c>
      <c r="E152" t="s">
        <v>418</v>
      </c>
      <c r="F152" s="115">
        <v>2020</v>
      </c>
      <c r="G152" t="s">
        <v>419</v>
      </c>
      <c r="H152" t="s">
        <v>420</v>
      </c>
      <c r="I152" s="159">
        <v>2</v>
      </c>
      <c r="J152">
        <v>2017</v>
      </c>
      <c r="K152" s="115" t="s">
        <v>73</v>
      </c>
      <c r="L152" s="159">
        <v>5</v>
      </c>
      <c r="M152" s="159" t="s">
        <v>308</v>
      </c>
      <c r="N152" t="s">
        <v>268</v>
      </c>
      <c r="O152" t="s">
        <v>307</v>
      </c>
      <c r="P152" t="s">
        <v>269</v>
      </c>
      <c r="Q152" t="s">
        <v>275</v>
      </c>
      <c r="R152" t="s">
        <v>270</v>
      </c>
      <c r="S152">
        <v>1</v>
      </c>
      <c r="T152" t="s">
        <v>324</v>
      </c>
      <c r="U152">
        <v>1</v>
      </c>
      <c r="V152" s="115" t="s">
        <v>225</v>
      </c>
      <c r="W152" s="115" t="s">
        <v>225</v>
      </c>
      <c r="X152" s="115" t="s">
        <v>73</v>
      </c>
      <c r="Y152" s="159">
        <v>0</v>
      </c>
      <c r="Z152" s="159">
        <v>0</v>
      </c>
      <c r="AA152" s="159">
        <v>1</v>
      </c>
      <c r="AB152" s="159">
        <v>0</v>
      </c>
      <c r="AC152" s="159">
        <v>0</v>
      </c>
      <c r="AD152" s="159">
        <v>0</v>
      </c>
      <c r="AE152" s="159">
        <v>0</v>
      </c>
      <c r="AF152" s="159">
        <v>0</v>
      </c>
      <c r="AG152" t="s">
        <v>421</v>
      </c>
      <c r="AH152" s="159">
        <v>0</v>
      </c>
      <c r="AI152" s="159">
        <v>0</v>
      </c>
      <c r="AJ152" s="159">
        <v>0</v>
      </c>
      <c r="AK152" s="159">
        <v>1</v>
      </c>
      <c r="AL152" s="159">
        <v>0</v>
      </c>
      <c r="AM152" s="159">
        <v>0</v>
      </c>
      <c r="AN152" s="159">
        <v>0</v>
      </c>
      <c r="AO152" s="159">
        <v>0</v>
      </c>
      <c r="AP152" s="159">
        <v>0</v>
      </c>
      <c r="AQ152" t="s">
        <v>73</v>
      </c>
      <c r="AR152" t="s">
        <v>227</v>
      </c>
      <c r="AS152" t="s">
        <v>422</v>
      </c>
      <c r="AT152" t="s">
        <v>273</v>
      </c>
      <c r="AU152">
        <v>0.34670000000000001</v>
      </c>
      <c r="AV152" s="7" t="s">
        <v>80</v>
      </c>
      <c r="AW152">
        <v>4.1000000000000002E-2</v>
      </c>
      <c r="AX152">
        <v>0.01</v>
      </c>
      <c r="AY152">
        <v>1</v>
      </c>
      <c r="AZ152">
        <f t="shared" si="59"/>
        <v>8.4560975609756088</v>
      </c>
      <c r="BA152" s="160">
        <f>EXP(AU152)-1</f>
        <v>0.41439234401320402</v>
      </c>
      <c r="BB152" s="99">
        <f t="shared" si="56"/>
        <v>0.58581710943557763</v>
      </c>
      <c r="BC152" t="s">
        <v>73</v>
      </c>
      <c r="BD152" t="s">
        <v>73</v>
      </c>
      <c r="BE152" t="s">
        <v>73</v>
      </c>
      <c r="BF152" t="s">
        <v>73</v>
      </c>
      <c r="BG152" t="s">
        <v>73</v>
      </c>
      <c r="BH152" t="s">
        <v>73</v>
      </c>
      <c r="BI152" s="159">
        <v>325</v>
      </c>
      <c r="BJ152" s="159">
        <v>5200</v>
      </c>
      <c r="BK152" s="159" t="s">
        <v>73</v>
      </c>
      <c r="BL152" s="159" t="s">
        <v>73</v>
      </c>
      <c r="BM152" s="159" t="s">
        <v>73</v>
      </c>
      <c r="BN152" s="159" t="s">
        <v>73</v>
      </c>
      <c r="BO152" s="159" t="s">
        <v>73</v>
      </c>
      <c r="BP152" s="159" t="s">
        <v>73</v>
      </c>
      <c r="BQ152" s="159" t="s">
        <v>73</v>
      </c>
      <c r="BR152" s="159" t="s">
        <v>73</v>
      </c>
      <c r="BS152" s="159" t="s">
        <v>73</v>
      </c>
      <c r="BT152" s="159" t="s">
        <v>73</v>
      </c>
      <c r="BU152" s="159">
        <v>0</v>
      </c>
      <c r="BV152" s="159">
        <v>1</v>
      </c>
      <c r="BW152" s="159">
        <v>1</v>
      </c>
      <c r="BX152" s="30">
        <f t="shared" si="57"/>
        <v>0.42466388635349994</v>
      </c>
      <c r="BY152" s="30">
        <f t="shared" si="50"/>
        <v>0.45336839008312346</v>
      </c>
      <c r="BZ152" s="30">
        <f t="shared" si="51"/>
        <v>2.9560250538296882E-3</v>
      </c>
      <c r="CA152" s="30">
        <f t="shared" si="52"/>
        <v>3.105590062111801E-3</v>
      </c>
      <c r="CB152" s="95" t="s">
        <v>73</v>
      </c>
      <c r="CC152">
        <f t="shared" si="58"/>
        <v>323</v>
      </c>
      <c r="CD152" s="95" t="s">
        <v>73</v>
      </c>
    </row>
    <row r="153" spans="1:82" s="32" customFormat="1" ht="16">
      <c r="A153" s="115" t="s">
        <v>68</v>
      </c>
      <c r="B153" s="115">
        <v>30</v>
      </c>
      <c r="C153" s="115">
        <v>1148</v>
      </c>
      <c r="D153" s="159">
        <v>132</v>
      </c>
      <c r="E153" t="s">
        <v>418</v>
      </c>
      <c r="F153" s="115">
        <v>2020</v>
      </c>
      <c r="G153" t="s">
        <v>419</v>
      </c>
      <c r="H153" t="s">
        <v>420</v>
      </c>
      <c r="I153" s="159">
        <v>2</v>
      </c>
      <c r="J153">
        <v>2017</v>
      </c>
      <c r="K153" s="115" t="s">
        <v>73</v>
      </c>
      <c r="L153" s="159">
        <v>5</v>
      </c>
      <c r="M153" s="159" t="s">
        <v>308</v>
      </c>
      <c r="N153" t="s">
        <v>268</v>
      </c>
      <c r="O153" t="s">
        <v>307</v>
      </c>
      <c r="P153" t="s">
        <v>269</v>
      </c>
      <c r="Q153" t="s">
        <v>275</v>
      </c>
      <c r="R153" t="s">
        <v>270</v>
      </c>
      <c r="S153">
        <v>1</v>
      </c>
      <c r="T153" t="s">
        <v>324</v>
      </c>
      <c r="U153">
        <v>1</v>
      </c>
      <c r="V153" s="115" t="s">
        <v>225</v>
      </c>
      <c r="W153" s="115" t="s">
        <v>225</v>
      </c>
      <c r="X153" s="115" t="s">
        <v>73</v>
      </c>
      <c r="Y153" s="159">
        <v>0</v>
      </c>
      <c r="Z153" s="159">
        <v>0</v>
      </c>
      <c r="AA153" s="159">
        <v>1</v>
      </c>
      <c r="AB153" s="159">
        <v>0</v>
      </c>
      <c r="AC153" s="159">
        <v>0</v>
      </c>
      <c r="AD153" s="159">
        <v>0</v>
      </c>
      <c r="AE153" s="159">
        <v>0</v>
      </c>
      <c r="AF153" s="159">
        <v>0</v>
      </c>
      <c r="AG153" t="s">
        <v>421</v>
      </c>
      <c r="AH153" s="159">
        <v>1</v>
      </c>
      <c r="AI153" s="159">
        <v>0</v>
      </c>
      <c r="AJ153" s="159">
        <v>0</v>
      </c>
      <c r="AK153" s="159">
        <v>0</v>
      </c>
      <c r="AL153" s="159">
        <v>0</v>
      </c>
      <c r="AM153" s="159">
        <v>0</v>
      </c>
      <c r="AN153" s="159">
        <v>0</v>
      </c>
      <c r="AO153" s="159">
        <v>0</v>
      </c>
      <c r="AP153" s="159">
        <v>0</v>
      </c>
      <c r="AQ153" t="s">
        <v>73</v>
      </c>
      <c r="AR153" t="s">
        <v>227</v>
      </c>
      <c r="AS153" t="s">
        <v>422</v>
      </c>
      <c r="AT153" t="s">
        <v>273</v>
      </c>
      <c r="AU153">
        <v>0.35460000000000003</v>
      </c>
      <c r="AV153" s="7" t="s">
        <v>80</v>
      </c>
      <c r="AW153">
        <v>4.02E-2</v>
      </c>
      <c r="AX153">
        <v>0.01</v>
      </c>
      <c r="AY153">
        <v>1</v>
      </c>
      <c r="AZ153">
        <f t="shared" si="59"/>
        <v>8.8208955223880601</v>
      </c>
      <c r="BA153" s="160">
        <f>EXP(AU153)-1</f>
        <v>0.42561029609900869</v>
      </c>
      <c r="BB153" s="99">
        <f t="shared" si="56"/>
        <v>0.58773262069003773</v>
      </c>
      <c r="BC153" t="s">
        <v>73</v>
      </c>
      <c r="BD153" t="s">
        <v>73</v>
      </c>
      <c r="BE153" t="s">
        <v>73</v>
      </c>
      <c r="BF153" t="s">
        <v>73</v>
      </c>
      <c r="BG153" t="s">
        <v>73</v>
      </c>
      <c r="BH153" t="s">
        <v>73</v>
      </c>
      <c r="BI153" s="159">
        <v>325</v>
      </c>
      <c r="BJ153" s="159">
        <v>5200</v>
      </c>
      <c r="BK153" s="159" t="s">
        <v>73</v>
      </c>
      <c r="BL153" s="159" t="s">
        <v>73</v>
      </c>
      <c r="BM153" s="159" t="s">
        <v>73</v>
      </c>
      <c r="BN153" s="159" t="s">
        <v>73</v>
      </c>
      <c r="BO153" s="159" t="s">
        <v>73</v>
      </c>
      <c r="BP153" s="159" t="s">
        <v>73</v>
      </c>
      <c r="BQ153" s="159" t="s">
        <v>73</v>
      </c>
      <c r="BR153" s="159" t="s">
        <v>73</v>
      </c>
      <c r="BS153" s="159" t="s">
        <v>73</v>
      </c>
      <c r="BT153" s="159" t="s">
        <v>73</v>
      </c>
      <c r="BU153" s="159">
        <v>0</v>
      </c>
      <c r="BV153" s="159">
        <v>1</v>
      </c>
      <c r="BW153" s="159">
        <v>1</v>
      </c>
      <c r="BX153" s="30">
        <f t="shared" si="57"/>
        <v>0.43950470421982007</v>
      </c>
      <c r="BY153" s="30">
        <f t="shared" si="50"/>
        <v>0.47161676421139942</v>
      </c>
      <c r="BZ153" s="30">
        <f t="shared" si="51"/>
        <v>2.9337292848981796E-3</v>
      </c>
      <c r="CA153" s="30">
        <f t="shared" si="52"/>
        <v>3.105590062111801E-3</v>
      </c>
      <c r="CB153" s="95" t="s">
        <v>73</v>
      </c>
      <c r="CC153">
        <f t="shared" si="58"/>
        <v>323</v>
      </c>
      <c r="CD153" s="95" t="s">
        <v>73</v>
      </c>
    </row>
  </sheetData>
  <autoFilter ref="AR1:AR153" xr:uid="{00000000-0009-0000-0000-000001000000}"/>
  <sortState xmlns:xlrd2="http://schemas.microsoft.com/office/spreadsheetml/2017/richdata2" ref="A2:CD153">
    <sortCondition ref="AR1:AR153"/>
  </sortState>
  <dataConsolidate/>
  <phoneticPr fontId="27" type="noConversion"/>
  <conditionalFormatting sqref="AU1:AU1048576">
    <cfRule type="cellIs" dxfId="0" priority="1" operator="greaterThan">
      <formula>1</formula>
    </cfRule>
  </conditionalFormatting>
  <dataValidations xWindow="603" yWindow="1085" count="7">
    <dataValidation type="whole" allowBlank="1" showInputMessage="1" showErrorMessage="1" sqref="BR21:BR29 BP21:BP29 U1:U122 S1:S122 AH154:AP1048576 U154:U1048576 S154:S1048576 AH1:AP139 S135:S139 U135:U139" xr:uid="{00000000-0002-0000-0100-000000000000}">
      <formula1>0</formula1>
      <formula2>1</formula2>
    </dataValidation>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154:I1048576 I1:I139" xr:uid="{00000000-0002-0000-0100-000001000000}">
      <formula1>0</formula1>
      <formula2>2</formula2>
    </dataValidation>
    <dataValidation allowBlank="1" showInputMessage="1" showErrorMessage="1" errorTitle="int" error="Choose 1 or 0" promptTitle="Intervention" prompt="Yes - 1_x000a_No - 0" sqref="X30 AD1:AF1 AF61 AD66:AE86 AD91:AE117 AF66:AF117 AD2:AE61 AD154:AG1048576 AG1:AG139 AD118:AF139" xr:uid="{00000000-0002-0000-0100-000002000000}"/>
    <dataValidation type="whole" allowBlank="1" showInputMessage="1" showErrorMessage="1" errorTitle="int" error="Choose 1 or 0" promptTitle="Intervention" prompt="Yes - 1_x000a_No - 0" sqref="Y1:AC1 Z62:AF65 Z66:AC86 Z87:AE90 AF2:AF60 Z2:AC61 Y154:AC1048576 Y2:Y139 Z91:AC139" xr:uid="{00000000-0002-0000-0100-000003000000}">
      <formula1>0</formula1>
      <formula2>1</formula2>
    </dataValidation>
    <dataValidation errorStyle="warning" allowBlank="1" showInputMessage="1" showErrorMessage="1" sqref="BN30:BN35 BN61 BN66 BN80:BN86 BN115:BN117 BN122 BN135 BN1:BN16 BN154:BN1048576" xr:uid="{00000000-0002-0000-0100-000004000000}"/>
    <dataValidation type="whole" allowBlank="1" showInputMessage="1" showErrorMessage="1" prompt="1- lower bound_x000a_2 - upper bound_x000a_3- actual" sqref="AY38" xr:uid="{00000000-0002-0000-0100-000005000000}">
      <formula1>0</formula1>
      <formula2>3</formula2>
    </dataValidation>
    <dataValidation type="whole" allowBlank="1" showInputMessage="1" showErrorMessage="1" sqref="AY36:AY37" xr:uid="{00000000-0002-0000-0100-000006000000}">
      <formula1>1</formula1>
      <formula2>3</formula2>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xWindow="603" yWindow="1085" count="22">
        <x14:dataValidation type="list" allowBlank="1" showInputMessage="1" showErrorMessage="1" xr:uid="{00000000-0002-0000-0100-000007000000}">
          <x14:formula1>
            <xm:f>'Lists for variables'!$B$2:$B$4</xm:f>
          </x14:formula1>
          <xm:sqref>U1:U117 U154:U1048576 U136:U139</xm:sqref>
        </x14:dataValidation>
        <x14:dataValidation type="list" allowBlank="1" showInputMessage="1" showErrorMessage="1" xr:uid="{00000000-0002-0000-0100-000008000000}">
          <x14:formula1>
            <xm:f>'Lists for variables'!$A$2:$A$4</xm:f>
          </x14:formula1>
          <xm:sqref>BU2:BW117 BU154:BW1048576 BV136:BW139 BU136:BU138</xm:sqref>
        </x14:dataValidation>
        <x14:dataValidation type="list" allowBlank="1" showInputMessage="1" showErrorMessage="1" xr:uid="{00000000-0002-0000-0100-000009000000}">
          <x14:formula1>
            <xm:f>'Lists for variables'!$C$2:$C$4</xm:f>
          </x14:formula1>
          <xm:sqref>BO30:BO35 BO61 BO66 BO80:BO86 BO115:BO117 BO1:BO16 BO154:BO1048576</xm:sqref>
        </x14:dataValidation>
        <x14:dataValidation type="list" allowBlank="1" showInputMessage="1" showErrorMessage="1" xr:uid="{00000000-0002-0000-0100-00000A000000}">
          <x14:formula1>
            <xm:f>'Lists for variables'!$I$2:$I$3</xm:f>
          </x14:formula1>
          <xm:sqref>AV1 AV3:AV7 AV53:AV117 AV139 AV154:AV1048576</xm:sqref>
        </x14:dataValidation>
        <x14:dataValidation type="list" allowBlank="1" showInputMessage="1" showErrorMessage="1" xr:uid="{00000000-0002-0000-0100-00000B000000}">
          <x14:formula1>
            <xm:f>'Lists for variables'!$L$2:$L$9</xm:f>
          </x14:formula1>
          <xm:sqref>S1:S117 U1:U117 U154:U1048576 S154:S1048576 U136:U139 S136:S139</xm:sqref>
        </x14:dataValidation>
        <x14:dataValidation type="list" allowBlank="1" showInputMessage="1" showErrorMessage="1" xr:uid="{00000000-0002-0000-0100-00000C000000}">
          <x14:formula1>
            <xm:f>'Lists for variables'!$K$2:$K$3</xm:f>
          </x14:formula1>
          <xm:sqref>V139:W139 S1:S117 U1:W117 U154:W1048576 S154:S1048576 S136:S139 U136:U139</xm:sqref>
        </x14:dataValidation>
        <x14:dataValidation type="list" allowBlank="1" showInputMessage="1" showErrorMessage="1" xr:uid="{00000000-0002-0000-0100-00000D000000}">
          <x14:formula1>
            <xm:f>'Lists for variables'!$N$2:$N$7</xm:f>
          </x14:formula1>
          <xm:sqref>V139:W139 S1:S117 U1:W117 U154:W1048576 S154:S1048576 S136:S139 U136:U139</xm:sqref>
        </x14:dataValidation>
        <x14:dataValidation type="list" allowBlank="1" showInputMessage="1" showErrorMessage="1" xr:uid="{00000000-0002-0000-0100-00000E000000}">
          <x14:formula1>
            <xm:f>'https://d.docs.live.net/Users/dianadanilenko/Library/Containers/com.microsoft.Excel/Data/Documents/Users/dianadanilenko/Library/Containers/com.microsoft.Excel/Data/Documents/C:/Users/dianadanilenko/Downloads/[Coding_Appliances_v7.xlsx]Lists for variables'!#REF!</xm:f>
          </x14:formula1>
          <xm:sqref>AY30:AY35</xm:sqref>
        </x14:dataValidation>
        <x14:dataValidation type="list" allowBlank="1" showInputMessage="1" showErrorMessage="1" xr:uid="{00000000-0002-0000-0100-00000F000000}">
          <x14:formula1>
            <xm:f>'Lists for variables'!$J$2:$J$12</xm:f>
          </x14:formula1>
          <xm:sqref>K154:K1048576 K1:K139</xm:sqref>
        </x14:dataValidation>
        <x14:dataValidation type="list" allowBlank="1" showInputMessage="1" showErrorMessage="1" xr:uid="{00000000-0002-0000-0100-000010000000}">
          <x14:formula1>
            <xm:f>'Lists for variables'!$O:$O</xm:f>
          </x14:formula1>
          <xm:sqref>BT1 BT30:BT40 BT94:BT117 BT85:BT86 BT80 BT73:BT77 BT61 BT47:BT52 BT154:BT1048576 BT136:BT138</xm:sqref>
        </x14:dataValidation>
        <x14:dataValidation type="list" allowBlank="1" showInputMessage="1" showErrorMessage="1" xr:uid="{00000000-0002-0000-0100-000011000000}">
          <x14:formula1>
            <xm:f>'Lists for variables'!$S:$S</xm:f>
          </x14:formula1>
          <xm:sqref>G17:G117 G1:G7 G154:G1048576 G136:G139</xm:sqref>
        </x14:dataValidation>
        <x14:dataValidation type="list" allowBlank="1" showInputMessage="1" showErrorMessage="1" xr:uid="{00000000-0002-0000-0100-000012000000}">
          <x14:formula1>
            <xm:f>'Lists for variables'!$G:$G</xm:f>
          </x14:formula1>
          <xm:sqref>AR39:AR117 AR1:AR37 AR154:AR1048576 AR136:AR139</xm:sqref>
        </x14:dataValidation>
        <x14:dataValidation type="list" allowBlank="1" showInputMessage="1" showErrorMessage="1" xr:uid="{00000000-0002-0000-0100-000013000000}">
          <x14:formula1>
            <xm:f>'Lists for variables'!$F:$F</xm:f>
          </x14:formula1>
          <xm:sqref>M67:M117 M1:M65 M154:M1048576 M136:M139</xm:sqref>
        </x14:dataValidation>
        <x14:dataValidation type="list" allowBlank="1" showInputMessage="1" showErrorMessage="1" xr:uid="{00000000-0002-0000-0100-000014000000}">
          <x14:formula1>
            <xm:f>'Lists for variables'!$P:$P</xm:f>
          </x14:formula1>
          <xm:sqref>AT36:AT117 AT1:AT34 AT154:AT1048576 AT136:AT139</xm:sqref>
        </x14:dataValidation>
        <x14:dataValidation type="list" allowBlank="1" showInputMessage="1" showErrorMessage="1" xr:uid="{00000000-0002-0000-0100-000015000000}">
          <x14:formula1>
            <xm:f>'Lists for variables'!$D:$D</xm:f>
          </x14:formula1>
          <xm:sqref>V139:W139 U1:W117 S1:S117 N1:N117 N154:N1048576 S154:S1048576 U154:W1048576 U136:U139 S136:S139 N136:N139</xm:sqref>
        </x14:dataValidation>
        <x14:dataValidation type="list" allowBlank="1" showInputMessage="1" showErrorMessage="1" xr:uid="{00000000-0002-0000-0100-000016000000}">
          <x14:formula1>
            <xm:f>'Lists for variables'!$N:$N</xm:f>
          </x14:formula1>
          <xm:sqref>O1:O117 O154:O1048576 O136:O139</xm:sqref>
        </x14:dataValidation>
        <x14:dataValidation type="list" allowBlank="1" showInputMessage="1" showErrorMessage="1" xr:uid="{00000000-0002-0000-0100-000017000000}">
          <x14:formula1>
            <xm:f>'Lists for variables'!$B:$B</xm:f>
          </x14:formula1>
          <xm:sqref>T117 T61:T66 T73 T80:T95 T111 T1:T52 T154:T1048576 T136:T139</xm:sqref>
        </x14:dataValidation>
        <x14:dataValidation type="list" allowBlank="1" showInputMessage="1" showErrorMessage="1" xr:uid="{00000000-0002-0000-0100-000018000000}">
          <x14:formula1>
            <xm:f>'Lists for variables'!$R:$R</xm:f>
          </x14:formula1>
          <xm:sqref>E139 E1:E117 E154:E1048576</xm:sqref>
        </x14:dataValidation>
        <x14:dataValidation type="list" allowBlank="1" showInputMessage="1" showErrorMessage="1" xr:uid="{00000000-0002-0000-0100-000019000000}">
          <x14:formula1>
            <xm:f>'Lists for variables'!$H:$H</xm:f>
          </x14:formula1>
          <xm:sqref>S1:S117 U1:U117 S154:S1048576 U154:U1048576 S136:S139 U136:U139</xm:sqref>
        </x14:dataValidation>
        <x14:dataValidation type="list" allowBlank="1" showInputMessage="1" showErrorMessage="1" xr:uid="{00000000-0002-0000-0100-00001A000000}">
          <x14:formula1>
            <xm:f>'Lists for variables'!$M:$M</xm:f>
          </x14:formula1>
          <xm:sqref>U1:U117 P1:P117 S1:S117 U154:U1048576 S154:S1048576 P154:P1048576 P136:P139 U136:U139 S136:S139</xm:sqref>
        </x14:dataValidation>
        <x14:dataValidation type="list" allowBlank="1" showInputMessage="1" showErrorMessage="1" xr:uid="{00000000-0002-0000-0100-00001B000000}">
          <x14:formula1>
            <xm:f>'Lists for variables'!$L$2:$L$10</xm:f>
          </x14:formula1>
          <xm:sqref>R80:R84 R87:R110 R47:R77 R1:R44 R140:R1048576 R117:R138</xm:sqref>
        </x14:dataValidation>
        <x14:dataValidation type="list" allowBlank="1" showInputMessage="1" showErrorMessage="1" xr:uid="{00000000-0002-0000-0100-00001C000000}">
          <x14:formula1>
            <xm:f>'Lists for variables'!$H$1:$H$7</xm:f>
          </x14:formula1>
          <xm:sqref>Q1:Q1048576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C6B8-D66D-FF4D-BFD0-320CD520D889}">
  <dimension ref="A1:BJ18"/>
  <sheetViews>
    <sheetView zoomScale="120" zoomScaleNormal="120" workbookViewId="0">
      <selection activeCell="C25" sqref="C25"/>
    </sheetView>
  </sheetViews>
  <sheetFormatPr baseColWidth="10" defaultRowHeight="16"/>
  <cols>
    <col min="1" max="1" width="28.5" bestFit="1" customWidth="1"/>
    <col min="2" max="2" width="41" bestFit="1" customWidth="1"/>
    <col min="3" max="3" width="29.83203125" bestFit="1" customWidth="1"/>
    <col min="4" max="4" width="20.5" bestFit="1" customWidth="1"/>
    <col min="5" max="5" width="18.1640625" bestFit="1" customWidth="1"/>
    <col min="6" max="6" width="20.6640625" bestFit="1" customWidth="1"/>
    <col min="7" max="7" width="18.33203125" bestFit="1" customWidth="1"/>
    <col min="8" max="8" width="15.83203125" bestFit="1" customWidth="1"/>
    <col min="9" max="9" width="22.5" bestFit="1" customWidth="1"/>
    <col min="10" max="10" width="23" bestFit="1" customWidth="1"/>
    <col min="11" max="11" width="25.83203125" bestFit="1" customWidth="1"/>
    <col min="12" max="12" width="19.5" bestFit="1" customWidth="1"/>
    <col min="13" max="13" width="14.6640625" bestFit="1" customWidth="1"/>
    <col min="14" max="14" width="30" bestFit="1" customWidth="1"/>
    <col min="15" max="15" width="26.6640625" bestFit="1" customWidth="1"/>
    <col min="16" max="16" width="22.33203125" bestFit="1" customWidth="1"/>
    <col min="17" max="17" width="22.1640625" bestFit="1" customWidth="1"/>
    <col min="18" max="18" width="13.6640625" bestFit="1" customWidth="1"/>
    <col min="19" max="19" width="28.1640625" bestFit="1" customWidth="1"/>
    <col min="20" max="20" width="23.1640625" bestFit="1" customWidth="1"/>
    <col min="21" max="21" width="21.6640625" bestFit="1" customWidth="1"/>
    <col min="22" max="22" width="15" bestFit="1" customWidth="1"/>
    <col min="23" max="23" width="17.33203125" bestFit="1" customWidth="1"/>
    <col min="24" max="24" width="11.5" bestFit="1" customWidth="1"/>
    <col min="25" max="25" width="12.83203125" bestFit="1" customWidth="1"/>
    <col min="26" max="26" width="15.83203125" bestFit="1" customWidth="1"/>
    <col min="27" max="27" width="13.6640625" bestFit="1" customWidth="1"/>
    <col min="28" max="28" width="11" bestFit="1" customWidth="1"/>
    <col min="29" max="29" width="23.83203125" bestFit="1" customWidth="1"/>
    <col min="30" max="30" width="18.83203125" bestFit="1" customWidth="1"/>
    <col min="31" max="31" width="22.6640625" bestFit="1" customWidth="1"/>
    <col min="32" max="32" width="15.83203125" bestFit="1" customWidth="1"/>
    <col min="33" max="33" width="17.1640625" bestFit="1" customWidth="1"/>
    <col min="34" max="34" width="17" bestFit="1" customWidth="1"/>
    <col min="35" max="35" width="13.6640625" bestFit="1" customWidth="1"/>
    <col min="36" max="36" width="18.83203125" bestFit="1" customWidth="1"/>
    <col min="37" max="37" width="9.33203125" bestFit="1" customWidth="1"/>
    <col min="38" max="38" width="9.1640625" bestFit="1" customWidth="1"/>
    <col min="39" max="39" width="36.33203125" bestFit="1" customWidth="1"/>
    <col min="40" max="40" width="29" bestFit="1" customWidth="1"/>
    <col min="41" max="41" width="17.83203125" bestFit="1" customWidth="1"/>
    <col min="42" max="42" width="21.83203125" bestFit="1" customWidth="1"/>
    <col min="43" max="43" width="20.1640625" bestFit="1" customWidth="1"/>
    <col min="44" max="44" width="15" bestFit="1" customWidth="1"/>
    <col min="45" max="45" width="24.5" bestFit="1" customWidth="1"/>
    <col min="46" max="46" width="13.33203125" bestFit="1" customWidth="1"/>
    <col min="47" max="47" width="21.83203125" bestFit="1" customWidth="1"/>
    <col min="48" max="48" width="36.5" bestFit="1" customWidth="1"/>
    <col min="49" max="49" width="23.83203125" bestFit="1" customWidth="1"/>
    <col min="50" max="50" width="17.1640625" bestFit="1" customWidth="1"/>
    <col min="51" max="51" width="29.6640625" bestFit="1" customWidth="1"/>
    <col min="52" max="52" width="33" bestFit="1" customWidth="1"/>
    <col min="53" max="53" width="35.5" bestFit="1" customWidth="1"/>
    <col min="54" max="54" width="21.83203125" bestFit="1" customWidth="1"/>
    <col min="55" max="55" width="24.33203125" bestFit="1" customWidth="1"/>
    <col min="56" max="56" width="17.83203125" bestFit="1" customWidth="1"/>
    <col min="57" max="57" width="25.83203125" bestFit="1" customWidth="1"/>
    <col min="58" max="58" width="35" bestFit="1" customWidth="1"/>
    <col min="59" max="59" width="26.33203125" bestFit="1" customWidth="1"/>
    <col min="60" max="60" width="12.33203125" bestFit="1" customWidth="1"/>
    <col min="61" max="61" width="20.5" bestFit="1" customWidth="1"/>
    <col min="62" max="62" width="15.6640625" bestFit="1" customWidth="1"/>
    <col min="63" max="64" width="18.5" bestFit="1" customWidth="1"/>
  </cols>
  <sheetData>
    <row r="1" spans="1:62">
      <c r="A1" s="217" t="s">
        <v>7</v>
      </c>
      <c r="B1" t="s">
        <v>73</v>
      </c>
    </row>
    <row r="2" spans="1:62">
      <c r="A2" s="217" t="s">
        <v>198</v>
      </c>
      <c r="B2" t="s">
        <v>227</v>
      </c>
    </row>
    <row r="4" spans="1:62">
      <c r="A4" s="217" t="s">
        <v>653</v>
      </c>
      <c r="B4" t="s">
        <v>655</v>
      </c>
      <c r="C4" t="s">
        <v>715</v>
      </c>
      <c r="D4" t="s">
        <v>713</v>
      </c>
      <c r="E4" t="s">
        <v>714</v>
      </c>
      <c r="F4" t="s">
        <v>712</v>
      </c>
      <c r="G4" t="s">
        <v>711</v>
      </c>
      <c r="H4" t="s">
        <v>659</v>
      </c>
      <c r="I4" t="s">
        <v>706</v>
      </c>
      <c r="J4" t="s">
        <v>707</v>
      </c>
      <c r="K4" t="s">
        <v>656</v>
      </c>
      <c r="L4" t="s">
        <v>657</v>
      </c>
      <c r="M4" t="s">
        <v>658</v>
      </c>
      <c r="N4" t="s">
        <v>660</v>
      </c>
      <c r="O4" t="s">
        <v>661</v>
      </c>
      <c r="P4" t="s">
        <v>662</v>
      </c>
      <c r="Q4" t="s">
        <v>663</v>
      </c>
      <c r="R4" t="s">
        <v>664</v>
      </c>
      <c r="S4" t="s">
        <v>665</v>
      </c>
      <c r="T4" t="s">
        <v>666</v>
      </c>
      <c r="U4" t="s">
        <v>667</v>
      </c>
      <c r="V4" t="s">
        <v>668</v>
      </c>
      <c r="W4" t="s">
        <v>669</v>
      </c>
      <c r="X4" t="s">
        <v>670</v>
      </c>
      <c r="Y4" t="s">
        <v>671</v>
      </c>
      <c r="Z4" t="s">
        <v>672</v>
      </c>
      <c r="AA4" t="s">
        <v>673</v>
      </c>
      <c r="AB4" t="s">
        <v>674</v>
      </c>
      <c r="AC4" t="s">
        <v>675</v>
      </c>
      <c r="AD4" t="s">
        <v>677</v>
      </c>
      <c r="AE4" t="s">
        <v>676</v>
      </c>
      <c r="AF4" t="s">
        <v>678</v>
      </c>
      <c r="AG4" t="s">
        <v>679</v>
      </c>
      <c r="AH4" t="s">
        <v>680</v>
      </c>
      <c r="AI4" t="s">
        <v>681</v>
      </c>
      <c r="AJ4" t="s">
        <v>682</v>
      </c>
      <c r="AK4" t="s">
        <v>683</v>
      </c>
      <c r="AL4" t="s">
        <v>684</v>
      </c>
      <c r="AM4" t="s">
        <v>685</v>
      </c>
      <c r="AN4" t="s">
        <v>686</v>
      </c>
      <c r="AO4" t="s">
        <v>687</v>
      </c>
      <c r="AP4" t="s">
        <v>688</v>
      </c>
      <c r="AQ4" t="s">
        <v>689</v>
      </c>
      <c r="AR4" t="s">
        <v>690</v>
      </c>
      <c r="AS4" t="s">
        <v>692</v>
      </c>
      <c r="AT4" t="s">
        <v>691</v>
      </c>
      <c r="AU4" t="s">
        <v>693</v>
      </c>
      <c r="AV4" t="s">
        <v>694</v>
      </c>
      <c r="AW4" t="s">
        <v>695</v>
      </c>
      <c r="AX4" t="s">
        <v>705</v>
      </c>
      <c r="AY4" t="s">
        <v>702</v>
      </c>
      <c r="AZ4" t="s">
        <v>703</v>
      </c>
      <c r="BA4" t="s">
        <v>704</v>
      </c>
      <c r="BB4" t="s">
        <v>701</v>
      </c>
      <c r="BC4" t="s">
        <v>700</v>
      </c>
      <c r="BD4" t="s">
        <v>699</v>
      </c>
      <c r="BE4" t="s">
        <v>696</v>
      </c>
      <c r="BF4" t="s">
        <v>697</v>
      </c>
      <c r="BG4" t="s">
        <v>698</v>
      </c>
      <c r="BH4" t="s">
        <v>708</v>
      </c>
      <c r="BI4" t="s">
        <v>709</v>
      </c>
      <c r="BJ4" t="s">
        <v>710</v>
      </c>
    </row>
    <row r="5" spans="1:62">
      <c r="A5" s="218" t="s">
        <v>306</v>
      </c>
      <c r="B5">
        <v>4</v>
      </c>
      <c r="C5">
        <v>0.12667444459407348</v>
      </c>
      <c r="D5">
        <v>1.6717762428241768E-3</v>
      </c>
      <c r="E5">
        <v>0.12737826808735897</v>
      </c>
      <c r="F5">
        <v>1.6778523489932886E-3</v>
      </c>
      <c r="G5" t="e">
        <v>#DIV/0!</v>
      </c>
      <c r="H5">
        <v>4</v>
      </c>
      <c r="I5">
        <v>4</v>
      </c>
      <c r="J5">
        <v>4</v>
      </c>
      <c r="K5">
        <v>4</v>
      </c>
      <c r="L5">
        <v>4</v>
      </c>
      <c r="M5">
        <v>4</v>
      </c>
      <c r="N5">
        <v>4</v>
      </c>
      <c r="O5">
        <v>4</v>
      </c>
      <c r="P5">
        <v>4</v>
      </c>
      <c r="Q5">
        <v>4</v>
      </c>
      <c r="R5">
        <v>4</v>
      </c>
      <c r="S5">
        <v>4</v>
      </c>
      <c r="T5">
        <v>4</v>
      </c>
      <c r="U5">
        <v>4</v>
      </c>
      <c r="V5">
        <v>4</v>
      </c>
      <c r="W5">
        <v>2</v>
      </c>
      <c r="X5">
        <v>0</v>
      </c>
      <c r="Y5">
        <v>0</v>
      </c>
      <c r="Z5">
        <v>0</v>
      </c>
      <c r="AA5">
        <v>0</v>
      </c>
      <c r="AB5">
        <v>0</v>
      </c>
      <c r="AC5">
        <v>0</v>
      </c>
      <c r="AD5">
        <v>0</v>
      </c>
      <c r="AE5">
        <v>0</v>
      </c>
      <c r="AF5">
        <v>0</v>
      </c>
      <c r="AG5">
        <v>0</v>
      </c>
      <c r="AH5">
        <v>4</v>
      </c>
      <c r="AI5">
        <v>0</v>
      </c>
      <c r="AJ5">
        <v>0</v>
      </c>
      <c r="AK5">
        <v>0</v>
      </c>
      <c r="AL5">
        <v>0</v>
      </c>
      <c r="AM5">
        <v>4</v>
      </c>
      <c r="AN5">
        <v>4</v>
      </c>
      <c r="AO5">
        <v>4</v>
      </c>
      <c r="AP5">
        <v>4</v>
      </c>
      <c r="AQ5">
        <v>4</v>
      </c>
      <c r="AR5">
        <v>4</v>
      </c>
      <c r="AS5">
        <v>4</v>
      </c>
      <c r="AT5">
        <v>4</v>
      </c>
      <c r="AU5">
        <v>4</v>
      </c>
      <c r="AW5">
        <v>4</v>
      </c>
      <c r="AX5">
        <v>4</v>
      </c>
      <c r="AY5">
        <v>4</v>
      </c>
      <c r="AZ5">
        <v>4</v>
      </c>
      <c r="BA5">
        <v>4</v>
      </c>
      <c r="BB5">
        <v>4</v>
      </c>
      <c r="BC5">
        <v>4</v>
      </c>
      <c r="BD5">
        <v>4</v>
      </c>
      <c r="BE5">
        <v>0</v>
      </c>
      <c r="BF5">
        <v>0</v>
      </c>
      <c r="BG5">
        <v>4</v>
      </c>
      <c r="BH5">
        <v>597</v>
      </c>
      <c r="BI5">
        <v>4</v>
      </c>
      <c r="BJ5">
        <v>4</v>
      </c>
    </row>
    <row r="6" spans="1:62">
      <c r="A6" s="218" t="s">
        <v>107</v>
      </c>
      <c r="B6">
        <v>14</v>
      </c>
      <c r="C6" t="e">
        <v>#VALUE!</v>
      </c>
      <c r="D6" t="e">
        <v>#VALUE!</v>
      </c>
      <c r="E6" t="e">
        <v>#VALUE!</v>
      </c>
      <c r="F6">
        <v>7.5811824421551682E-2</v>
      </c>
      <c r="G6" t="e">
        <v>#VALUE!</v>
      </c>
      <c r="H6">
        <v>14</v>
      </c>
      <c r="I6">
        <v>14</v>
      </c>
      <c r="J6">
        <v>14</v>
      </c>
      <c r="K6">
        <v>14</v>
      </c>
      <c r="L6">
        <v>14</v>
      </c>
      <c r="M6">
        <v>14</v>
      </c>
      <c r="N6">
        <v>14</v>
      </c>
      <c r="O6">
        <v>14</v>
      </c>
      <c r="P6">
        <v>14</v>
      </c>
      <c r="Q6">
        <v>14</v>
      </c>
      <c r="R6">
        <v>14</v>
      </c>
      <c r="S6">
        <v>14</v>
      </c>
      <c r="T6">
        <v>14</v>
      </c>
      <c r="U6">
        <v>14</v>
      </c>
      <c r="V6">
        <v>0</v>
      </c>
      <c r="W6">
        <v>10</v>
      </c>
      <c r="X6">
        <v>11</v>
      </c>
      <c r="Y6">
        <v>2</v>
      </c>
      <c r="Z6">
        <v>0</v>
      </c>
      <c r="AA6">
        <v>0</v>
      </c>
      <c r="AB6">
        <v>0</v>
      </c>
      <c r="AC6">
        <v>0</v>
      </c>
      <c r="AD6">
        <v>5</v>
      </c>
      <c r="AE6">
        <v>1</v>
      </c>
      <c r="AF6">
        <v>0</v>
      </c>
      <c r="AG6">
        <v>3</v>
      </c>
      <c r="AH6">
        <v>0</v>
      </c>
      <c r="AI6">
        <v>5</v>
      </c>
      <c r="AJ6">
        <v>0</v>
      </c>
      <c r="AK6">
        <v>0</v>
      </c>
      <c r="AL6">
        <v>0</v>
      </c>
      <c r="AM6">
        <v>14</v>
      </c>
      <c r="AN6">
        <v>14</v>
      </c>
      <c r="AO6">
        <v>14</v>
      </c>
      <c r="AP6">
        <v>14</v>
      </c>
      <c r="AQ6">
        <v>14</v>
      </c>
      <c r="AR6">
        <v>14</v>
      </c>
      <c r="AS6">
        <v>14</v>
      </c>
      <c r="AT6">
        <v>14</v>
      </c>
      <c r="AU6">
        <v>14</v>
      </c>
      <c r="AW6">
        <v>14</v>
      </c>
      <c r="AX6">
        <v>14</v>
      </c>
      <c r="AY6">
        <v>14</v>
      </c>
      <c r="AZ6">
        <v>14</v>
      </c>
      <c r="BA6">
        <v>14</v>
      </c>
      <c r="BB6">
        <v>14</v>
      </c>
      <c r="BC6">
        <v>14</v>
      </c>
      <c r="BD6">
        <v>14</v>
      </c>
      <c r="BE6">
        <v>0</v>
      </c>
      <c r="BF6">
        <v>0</v>
      </c>
      <c r="BG6">
        <v>2</v>
      </c>
      <c r="BH6">
        <v>229.57142857142858</v>
      </c>
      <c r="BI6">
        <v>14</v>
      </c>
      <c r="BJ6">
        <v>14</v>
      </c>
    </row>
    <row r="7" spans="1:62">
      <c r="A7" s="218" t="s">
        <v>220</v>
      </c>
      <c r="B7">
        <v>3</v>
      </c>
      <c r="C7">
        <v>6.5441999190393105E-3</v>
      </c>
      <c r="D7">
        <v>4.2833889728653879E-5</v>
      </c>
      <c r="E7">
        <v>6.5444801989653417E-3</v>
      </c>
      <c r="F7">
        <v>4.2837559972583958E-5</v>
      </c>
      <c r="G7" t="e">
        <v>#DIV/0!</v>
      </c>
      <c r="H7">
        <v>3</v>
      </c>
      <c r="I7">
        <v>3</v>
      </c>
      <c r="J7">
        <v>3</v>
      </c>
      <c r="K7">
        <v>3</v>
      </c>
      <c r="L7">
        <v>3</v>
      </c>
      <c r="M7">
        <v>3</v>
      </c>
      <c r="N7">
        <v>3</v>
      </c>
      <c r="O7">
        <v>3</v>
      </c>
      <c r="P7">
        <v>3</v>
      </c>
      <c r="Q7">
        <v>3</v>
      </c>
      <c r="R7">
        <v>3</v>
      </c>
      <c r="S7">
        <v>3</v>
      </c>
      <c r="T7">
        <v>3</v>
      </c>
      <c r="U7">
        <v>3</v>
      </c>
      <c r="V7">
        <v>0</v>
      </c>
      <c r="W7">
        <v>1</v>
      </c>
      <c r="X7">
        <v>0</v>
      </c>
      <c r="Y7">
        <v>2</v>
      </c>
      <c r="Z7">
        <v>0</v>
      </c>
      <c r="AA7">
        <v>0</v>
      </c>
      <c r="AB7">
        <v>0</v>
      </c>
      <c r="AC7">
        <v>0</v>
      </c>
      <c r="AD7">
        <v>0</v>
      </c>
      <c r="AE7">
        <v>0</v>
      </c>
      <c r="AF7">
        <v>0</v>
      </c>
      <c r="AG7">
        <v>0</v>
      </c>
      <c r="AH7">
        <v>0</v>
      </c>
      <c r="AI7">
        <v>0</v>
      </c>
      <c r="AJ7">
        <v>3</v>
      </c>
      <c r="AK7">
        <v>0</v>
      </c>
      <c r="AL7">
        <v>0</v>
      </c>
      <c r="AM7">
        <v>3</v>
      </c>
      <c r="AN7">
        <v>3</v>
      </c>
      <c r="AO7">
        <v>3</v>
      </c>
      <c r="AP7">
        <v>3</v>
      </c>
      <c r="AQ7">
        <v>3</v>
      </c>
      <c r="AR7">
        <v>3</v>
      </c>
      <c r="AS7">
        <v>3</v>
      </c>
      <c r="AT7">
        <v>3</v>
      </c>
      <c r="AU7">
        <v>3</v>
      </c>
      <c r="AV7">
        <v>3</v>
      </c>
      <c r="AW7">
        <v>3</v>
      </c>
      <c r="AX7">
        <v>3</v>
      </c>
      <c r="AY7">
        <v>3</v>
      </c>
      <c r="AZ7">
        <v>3</v>
      </c>
      <c r="BA7">
        <v>3</v>
      </c>
      <c r="BB7">
        <v>3</v>
      </c>
      <c r="BC7">
        <v>3</v>
      </c>
      <c r="BD7">
        <v>3</v>
      </c>
      <c r="BE7">
        <v>0</v>
      </c>
      <c r="BF7">
        <v>3</v>
      </c>
      <c r="BG7">
        <v>3</v>
      </c>
      <c r="BH7">
        <v>23345</v>
      </c>
      <c r="BI7">
        <v>3</v>
      </c>
      <c r="BJ7">
        <v>3</v>
      </c>
    </row>
    <row r="8" spans="1:62">
      <c r="A8" s="218" t="s">
        <v>93</v>
      </c>
      <c r="B8">
        <v>5</v>
      </c>
      <c r="C8">
        <v>2.6124206533931365E-2</v>
      </c>
      <c r="D8">
        <v>5.5740278889406674E-4</v>
      </c>
      <c r="E8">
        <v>2.6184664849851047E-2</v>
      </c>
      <c r="F8">
        <v>5.5843820412258285E-4</v>
      </c>
      <c r="G8" t="e">
        <v>#DIV/0!</v>
      </c>
      <c r="H8">
        <v>5</v>
      </c>
      <c r="I8">
        <v>5</v>
      </c>
      <c r="J8">
        <v>5</v>
      </c>
      <c r="K8">
        <v>5</v>
      </c>
      <c r="L8">
        <v>5</v>
      </c>
      <c r="M8">
        <v>5</v>
      </c>
      <c r="N8">
        <v>5</v>
      </c>
      <c r="O8">
        <v>5</v>
      </c>
      <c r="P8">
        <v>5</v>
      </c>
      <c r="Q8">
        <v>5</v>
      </c>
      <c r="R8">
        <v>5</v>
      </c>
      <c r="S8">
        <v>5</v>
      </c>
      <c r="T8">
        <v>5</v>
      </c>
      <c r="U8">
        <v>5</v>
      </c>
      <c r="V8">
        <v>0</v>
      </c>
      <c r="W8">
        <v>4</v>
      </c>
      <c r="X8">
        <v>0</v>
      </c>
      <c r="Y8">
        <v>2</v>
      </c>
      <c r="Z8">
        <v>2</v>
      </c>
      <c r="AA8">
        <v>0</v>
      </c>
      <c r="AB8">
        <v>0</v>
      </c>
      <c r="AC8">
        <v>0</v>
      </c>
      <c r="AD8">
        <v>0</v>
      </c>
      <c r="AE8">
        <v>0</v>
      </c>
      <c r="AF8">
        <v>0</v>
      </c>
      <c r="AG8">
        <v>0</v>
      </c>
      <c r="AH8">
        <v>2</v>
      </c>
      <c r="AI8">
        <v>3</v>
      </c>
      <c r="AJ8">
        <v>0</v>
      </c>
      <c r="AK8">
        <v>0</v>
      </c>
      <c r="AL8">
        <v>0</v>
      </c>
      <c r="AM8">
        <v>5</v>
      </c>
      <c r="AN8">
        <v>5</v>
      </c>
      <c r="AO8">
        <v>5</v>
      </c>
      <c r="AP8">
        <v>5</v>
      </c>
      <c r="AQ8">
        <v>5</v>
      </c>
      <c r="AR8">
        <v>5</v>
      </c>
      <c r="AS8">
        <v>5</v>
      </c>
      <c r="AT8">
        <v>5</v>
      </c>
      <c r="AU8">
        <v>5</v>
      </c>
      <c r="AV8">
        <v>5</v>
      </c>
      <c r="AW8">
        <v>5</v>
      </c>
      <c r="AX8">
        <v>5</v>
      </c>
      <c r="AY8">
        <v>5</v>
      </c>
      <c r="AZ8">
        <v>5</v>
      </c>
      <c r="BA8">
        <v>5</v>
      </c>
      <c r="BB8">
        <v>5</v>
      </c>
      <c r="BC8">
        <v>5</v>
      </c>
      <c r="BD8">
        <v>5</v>
      </c>
      <c r="BE8">
        <v>0</v>
      </c>
      <c r="BF8">
        <v>0</v>
      </c>
      <c r="BG8">
        <v>5</v>
      </c>
      <c r="BH8">
        <v>33088.6</v>
      </c>
      <c r="BI8">
        <v>5</v>
      </c>
      <c r="BJ8">
        <v>5</v>
      </c>
    </row>
    <row r="9" spans="1:62">
      <c r="A9" s="218" t="s">
        <v>155</v>
      </c>
      <c r="B9">
        <v>51</v>
      </c>
      <c r="C9">
        <v>0.15701583467056218</v>
      </c>
      <c r="D9">
        <v>2.2131511653333946E-3</v>
      </c>
      <c r="E9">
        <v>0.19054785480046874</v>
      </c>
      <c r="F9">
        <v>5.0063898345289294E-3</v>
      </c>
      <c r="G9">
        <v>7.2794724575885664E-2</v>
      </c>
      <c r="H9">
        <v>51</v>
      </c>
      <c r="I9">
        <v>51</v>
      </c>
      <c r="J9">
        <v>51</v>
      </c>
      <c r="K9">
        <v>51</v>
      </c>
      <c r="L9">
        <v>51</v>
      </c>
      <c r="M9">
        <v>51</v>
      </c>
      <c r="N9">
        <v>51</v>
      </c>
      <c r="O9">
        <v>51</v>
      </c>
      <c r="P9">
        <v>51</v>
      </c>
      <c r="Q9">
        <v>51</v>
      </c>
      <c r="R9">
        <v>51</v>
      </c>
      <c r="S9">
        <v>51</v>
      </c>
      <c r="T9">
        <v>51</v>
      </c>
      <c r="U9">
        <v>51</v>
      </c>
      <c r="V9">
        <v>0</v>
      </c>
      <c r="W9">
        <v>10</v>
      </c>
      <c r="X9">
        <v>28</v>
      </c>
      <c r="Y9">
        <v>11</v>
      </c>
      <c r="Z9">
        <v>0</v>
      </c>
      <c r="AA9">
        <v>6</v>
      </c>
      <c r="AB9">
        <v>1</v>
      </c>
      <c r="AC9">
        <v>0</v>
      </c>
      <c r="AD9">
        <v>0</v>
      </c>
      <c r="AE9">
        <v>10</v>
      </c>
      <c r="AF9">
        <v>3</v>
      </c>
      <c r="AG9">
        <v>7</v>
      </c>
      <c r="AH9">
        <v>0</v>
      </c>
      <c r="AI9">
        <v>6</v>
      </c>
      <c r="AJ9">
        <v>6</v>
      </c>
      <c r="AK9">
        <v>6</v>
      </c>
      <c r="AL9">
        <v>13</v>
      </c>
      <c r="AM9">
        <v>51</v>
      </c>
      <c r="AN9">
        <v>51</v>
      </c>
      <c r="AO9">
        <v>51</v>
      </c>
      <c r="AP9">
        <v>51</v>
      </c>
      <c r="AQ9">
        <v>51</v>
      </c>
      <c r="AR9">
        <v>51</v>
      </c>
      <c r="AS9">
        <v>51</v>
      </c>
      <c r="AT9">
        <v>51</v>
      </c>
      <c r="AU9">
        <v>51</v>
      </c>
      <c r="AV9">
        <v>51</v>
      </c>
      <c r="AW9">
        <v>51</v>
      </c>
      <c r="AX9">
        <v>51</v>
      </c>
      <c r="AY9">
        <v>51</v>
      </c>
      <c r="AZ9">
        <v>51</v>
      </c>
      <c r="BA9">
        <v>51</v>
      </c>
      <c r="BB9">
        <v>51</v>
      </c>
      <c r="BC9">
        <v>51</v>
      </c>
      <c r="BD9">
        <v>51</v>
      </c>
      <c r="BE9">
        <v>6</v>
      </c>
      <c r="BF9">
        <v>0</v>
      </c>
      <c r="BG9">
        <v>33</v>
      </c>
      <c r="BH9">
        <v>430.80392156862746</v>
      </c>
      <c r="BI9">
        <v>51</v>
      </c>
      <c r="BJ9">
        <v>51</v>
      </c>
    </row>
    <row r="10" spans="1:62">
      <c r="A10" s="218" t="s">
        <v>308</v>
      </c>
      <c r="B10">
        <v>23</v>
      </c>
      <c r="C10">
        <v>9.4272765577602682E-2</v>
      </c>
      <c r="D10">
        <v>2.1985314255774943E-3</v>
      </c>
      <c r="E10">
        <v>9.7036508933239313E-2</v>
      </c>
      <c r="F10">
        <v>2.2248736472220932E-3</v>
      </c>
      <c r="G10" t="e">
        <v>#DIV/0!</v>
      </c>
      <c r="H10">
        <v>23</v>
      </c>
      <c r="I10">
        <v>23</v>
      </c>
      <c r="J10">
        <v>23</v>
      </c>
      <c r="K10">
        <v>23</v>
      </c>
      <c r="L10">
        <v>23</v>
      </c>
      <c r="M10">
        <v>23</v>
      </c>
      <c r="N10">
        <v>23</v>
      </c>
      <c r="O10">
        <v>23</v>
      </c>
      <c r="P10">
        <v>23</v>
      </c>
      <c r="Q10">
        <v>23</v>
      </c>
      <c r="R10">
        <v>23</v>
      </c>
      <c r="S10">
        <v>23</v>
      </c>
      <c r="T10">
        <v>23</v>
      </c>
      <c r="U10">
        <v>23</v>
      </c>
      <c r="V10">
        <v>0</v>
      </c>
      <c r="W10">
        <v>0</v>
      </c>
      <c r="X10">
        <v>3</v>
      </c>
      <c r="Y10">
        <v>5</v>
      </c>
      <c r="Z10">
        <v>0</v>
      </c>
      <c r="AA10">
        <v>12</v>
      </c>
      <c r="AB10">
        <v>3</v>
      </c>
      <c r="AC10">
        <v>0</v>
      </c>
      <c r="AD10">
        <v>0</v>
      </c>
      <c r="AE10">
        <v>1</v>
      </c>
      <c r="AF10">
        <v>0</v>
      </c>
      <c r="AG10">
        <v>10</v>
      </c>
      <c r="AH10">
        <v>0</v>
      </c>
      <c r="AI10">
        <v>0</v>
      </c>
      <c r="AJ10">
        <v>12</v>
      </c>
      <c r="AK10">
        <v>0</v>
      </c>
      <c r="AL10">
        <v>0</v>
      </c>
      <c r="AM10">
        <v>23</v>
      </c>
      <c r="AN10">
        <v>23</v>
      </c>
      <c r="AO10">
        <v>23</v>
      </c>
      <c r="AP10">
        <v>23</v>
      </c>
      <c r="AQ10">
        <v>23</v>
      </c>
      <c r="AR10">
        <v>23</v>
      </c>
      <c r="AS10">
        <v>23</v>
      </c>
      <c r="AT10">
        <v>23</v>
      </c>
      <c r="AU10">
        <v>23</v>
      </c>
      <c r="AV10">
        <v>23</v>
      </c>
      <c r="AW10">
        <v>23</v>
      </c>
      <c r="AX10">
        <v>23</v>
      </c>
      <c r="AY10">
        <v>23</v>
      </c>
      <c r="AZ10">
        <v>23</v>
      </c>
      <c r="BA10">
        <v>23</v>
      </c>
      <c r="BB10">
        <v>23</v>
      </c>
      <c r="BC10">
        <v>23</v>
      </c>
      <c r="BD10">
        <v>23</v>
      </c>
      <c r="BE10">
        <v>12</v>
      </c>
      <c r="BF10">
        <v>14</v>
      </c>
      <c r="BG10">
        <v>21</v>
      </c>
      <c r="BH10">
        <v>598.78260869565213</v>
      </c>
      <c r="BI10">
        <v>23</v>
      </c>
      <c r="BJ10">
        <v>23</v>
      </c>
    </row>
    <row r="11" spans="1:62">
      <c r="A11" s="218" t="s">
        <v>417</v>
      </c>
      <c r="B11">
        <v>4</v>
      </c>
      <c r="C11">
        <v>6.3640148973810429E-2</v>
      </c>
      <c r="D11">
        <v>7.2119914323460121E-4</v>
      </c>
      <c r="E11">
        <v>6.3885706505239462E-2</v>
      </c>
      <c r="F11">
        <v>7.2354148412971209E-4</v>
      </c>
      <c r="G11" t="e">
        <v>#DIV/0!</v>
      </c>
      <c r="H11">
        <v>4</v>
      </c>
      <c r="I11">
        <v>4</v>
      </c>
      <c r="J11">
        <v>4</v>
      </c>
      <c r="K11">
        <v>4</v>
      </c>
      <c r="L11">
        <v>4</v>
      </c>
      <c r="M11">
        <v>4</v>
      </c>
      <c r="N11">
        <v>4</v>
      </c>
      <c r="O11">
        <v>4</v>
      </c>
      <c r="P11">
        <v>4</v>
      </c>
      <c r="Q11">
        <v>4</v>
      </c>
      <c r="R11">
        <v>4</v>
      </c>
      <c r="S11">
        <v>4</v>
      </c>
      <c r="T11">
        <v>4</v>
      </c>
      <c r="U11">
        <v>4</v>
      </c>
      <c r="V11">
        <v>0</v>
      </c>
      <c r="W11">
        <v>0</v>
      </c>
      <c r="X11">
        <v>1</v>
      </c>
      <c r="Y11">
        <v>0</v>
      </c>
      <c r="Z11">
        <v>0</v>
      </c>
      <c r="AA11">
        <v>3</v>
      </c>
      <c r="AB11">
        <v>0</v>
      </c>
      <c r="AC11">
        <v>0</v>
      </c>
      <c r="AD11">
        <v>0</v>
      </c>
      <c r="AE11">
        <v>0</v>
      </c>
      <c r="AF11">
        <v>0</v>
      </c>
      <c r="AG11">
        <v>1</v>
      </c>
      <c r="AH11">
        <v>0</v>
      </c>
      <c r="AI11">
        <v>0</v>
      </c>
      <c r="AJ11">
        <v>3</v>
      </c>
      <c r="AK11">
        <v>0</v>
      </c>
      <c r="AL11">
        <v>0</v>
      </c>
      <c r="AM11">
        <v>4</v>
      </c>
      <c r="AN11">
        <v>4</v>
      </c>
      <c r="AO11">
        <v>4</v>
      </c>
      <c r="AP11">
        <v>4</v>
      </c>
      <c r="AQ11">
        <v>4</v>
      </c>
      <c r="AR11">
        <v>4</v>
      </c>
      <c r="AS11">
        <v>4</v>
      </c>
      <c r="AT11">
        <v>4</v>
      </c>
      <c r="AU11">
        <v>4</v>
      </c>
      <c r="AV11">
        <v>4</v>
      </c>
      <c r="AW11">
        <v>4</v>
      </c>
      <c r="AX11">
        <v>4</v>
      </c>
      <c r="AY11">
        <v>4</v>
      </c>
      <c r="AZ11">
        <v>4</v>
      </c>
      <c r="BA11">
        <v>4</v>
      </c>
      <c r="BB11">
        <v>4</v>
      </c>
      <c r="BC11">
        <v>4</v>
      </c>
      <c r="BD11">
        <v>4</v>
      </c>
      <c r="BE11">
        <v>3</v>
      </c>
      <c r="BF11">
        <v>3</v>
      </c>
      <c r="BG11">
        <v>4</v>
      </c>
      <c r="BH11">
        <v>2676</v>
      </c>
      <c r="BI11">
        <v>4</v>
      </c>
      <c r="BJ11">
        <v>4</v>
      </c>
    </row>
    <row r="12" spans="1:62">
      <c r="A12" s="218" t="s">
        <v>391</v>
      </c>
      <c r="B12">
        <v>2</v>
      </c>
      <c r="C12">
        <v>4.7864102867770673E-2</v>
      </c>
      <c r="D12">
        <v>3.4375888847855613E-4</v>
      </c>
      <c r="E12">
        <v>4.7901151747069298E-2</v>
      </c>
      <c r="F12">
        <v>3.4399724802201581E-4</v>
      </c>
      <c r="G12" t="e">
        <v>#DIV/0!</v>
      </c>
      <c r="H12">
        <v>2</v>
      </c>
      <c r="I12">
        <v>2</v>
      </c>
      <c r="J12">
        <v>2</v>
      </c>
      <c r="K12">
        <v>2</v>
      </c>
      <c r="L12">
        <v>2</v>
      </c>
      <c r="M12">
        <v>2</v>
      </c>
      <c r="N12">
        <v>2</v>
      </c>
      <c r="O12">
        <v>2</v>
      </c>
      <c r="P12">
        <v>2</v>
      </c>
      <c r="Q12">
        <v>2</v>
      </c>
      <c r="R12">
        <v>2</v>
      </c>
      <c r="S12">
        <v>2</v>
      </c>
      <c r="T12">
        <v>2</v>
      </c>
      <c r="U12">
        <v>2</v>
      </c>
      <c r="V12">
        <v>0</v>
      </c>
      <c r="W12">
        <v>2</v>
      </c>
      <c r="X12">
        <v>0</v>
      </c>
      <c r="Y12">
        <v>0</v>
      </c>
      <c r="Z12">
        <v>0</v>
      </c>
      <c r="AA12">
        <v>0</v>
      </c>
      <c r="AB12">
        <v>0</v>
      </c>
      <c r="AC12">
        <v>0</v>
      </c>
      <c r="AD12">
        <v>0</v>
      </c>
      <c r="AE12">
        <v>0</v>
      </c>
      <c r="AF12">
        <v>0</v>
      </c>
      <c r="AG12">
        <v>2</v>
      </c>
      <c r="AH12">
        <v>0</v>
      </c>
      <c r="AI12">
        <v>0</v>
      </c>
      <c r="AJ12">
        <v>0</v>
      </c>
      <c r="AK12">
        <v>0</v>
      </c>
      <c r="AL12">
        <v>0</v>
      </c>
      <c r="AM12">
        <v>2</v>
      </c>
      <c r="AN12">
        <v>2</v>
      </c>
      <c r="AO12">
        <v>2</v>
      </c>
      <c r="AP12">
        <v>2</v>
      </c>
      <c r="AQ12">
        <v>2</v>
      </c>
      <c r="AR12">
        <v>2</v>
      </c>
      <c r="AS12">
        <v>2</v>
      </c>
      <c r="AT12">
        <v>2</v>
      </c>
      <c r="AU12">
        <v>2</v>
      </c>
      <c r="AV12">
        <v>2</v>
      </c>
      <c r="AW12">
        <v>2</v>
      </c>
      <c r="AX12">
        <v>2</v>
      </c>
      <c r="AY12">
        <v>2</v>
      </c>
      <c r="AZ12">
        <v>2</v>
      </c>
      <c r="BA12">
        <v>2</v>
      </c>
      <c r="BB12">
        <v>2</v>
      </c>
      <c r="BC12">
        <v>2</v>
      </c>
      <c r="BD12">
        <v>2</v>
      </c>
      <c r="BE12">
        <v>0</v>
      </c>
      <c r="BF12">
        <v>0</v>
      </c>
      <c r="BG12">
        <v>0</v>
      </c>
      <c r="BH12">
        <v>2908</v>
      </c>
      <c r="BI12">
        <v>2</v>
      </c>
      <c r="BJ12">
        <v>2</v>
      </c>
    </row>
    <row r="13" spans="1:62">
      <c r="A13" s="218" t="s">
        <v>291</v>
      </c>
      <c r="B13">
        <v>6</v>
      </c>
      <c r="C13">
        <v>4.913282308003452E-2</v>
      </c>
      <c r="D13">
        <v>7.4214652450160356E-4</v>
      </c>
      <c r="E13">
        <v>4.9208398587140954E-2</v>
      </c>
      <c r="F13">
        <v>7.4367429486905088E-4</v>
      </c>
      <c r="G13" t="e">
        <v>#DIV/0!</v>
      </c>
      <c r="H13">
        <v>6</v>
      </c>
      <c r="I13">
        <v>6</v>
      </c>
      <c r="J13">
        <v>6</v>
      </c>
      <c r="K13">
        <v>6</v>
      </c>
      <c r="L13">
        <v>6</v>
      </c>
      <c r="M13">
        <v>6</v>
      </c>
      <c r="N13">
        <v>6</v>
      </c>
      <c r="O13">
        <v>6</v>
      </c>
      <c r="P13">
        <v>6</v>
      </c>
      <c r="Q13">
        <v>6</v>
      </c>
      <c r="R13">
        <v>6</v>
      </c>
      <c r="S13">
        <v>6</v>
      </c>
      <c r="T13">
        <v>6</v>
      </c>
      <c r="U13">
        <v>6</v>
      </c>
      <c r="V13">
        <v>0</v>
      </c>
      <c r="W13">
        <v>0</v>
      </c>
      <c r="X13">
        <v>0</v>
      </c>
      <c r="Y13">
        <v>0</v>
      </c>
      <c r="Z13">
        <v>0</v>
      </c>
      <c r="AA13">
        <v>6</v>
      </c>
      <c r="AB13">
        <v>0</v>
      </c>
      <c r="AC13">
        <v>0</v>
      </c>
      <c r="AD13">
        <v>0</v>
      </c>
      <c r="AE13">
        <v>0</v>
      </c>
      <c r="AF13">
        <v>0</v>
      </c>
      <c r="AG13">
        <v>0</v>
      </c>
      <c r="AH13">
        <v>0</v>
      </c>
      <c r="AI13">
        <v>0</v>
      </c>
      <c r="AJ13">
        <v>6</v>
      </c>
      <c r="AK13">
        <v>0</v>
      </c>
      <c r="AL13">
        <v>0</v>
      </c>
      <c r="AM13">
        <v>6</v>
      </c>
      <c r="AN13">
        <v>6</v>
      </c>
      <c r="AO13">
        <v>6</v>
      </c>
      <c r="AP13">
        <v>6</v>
      </c>
      <c r="AQ13">
        <v>6</v>
      </c>
      <c r="AR13">
        <v>6</v>
      </c>
      <c r="AS13">
        <v>6</v>
      </c>
      <c r="AT13">
        <v>6</v>
      </c>
      <c r="AU13">
        <v>6</v>
      </c>
      <c r="AV13">
        <v>6</v>
      </c>
      <c r="AW13">
        <v>6</v>
      </c>
      <c r="AX13">
        <v>6</v>
      </c>
      <c r="AY13">
        <v>6</v>
      </c>
      <c r="AZ13">
        <v>6</v>
      </c>
      <c r="BA13">
        <v>6</v>
      </c>
      <c r="BB13">
        <v>6</v>
      </c>
      <c r="BC13">
        <v>6</v>
      </c>
      <c r="BD13">
        <v>6</v>
      </c>
      <c r="BE13">
        <v>6</v>
      </c>
      <c r="BF13">
        <v>6</v>
      </c>
      <c r="BG13">
        <v>6</v>
      </c>
      <c r="BH13">
        <v>2120.5</v>
      </c>
      <c r="BI13">
        <v>6</v>
      </c>
      <c r="BJ13">
        <v>6</v>
      </c>
    </row>
    <row r="14" spans="1:62">
      <c r="A14" s="218" t="s">
        <v>368</v>
      </c>
      <c r="B14">
        <v>6</v>
      </c>
      <c r="C14">
        <v>0.15124181441320864</v>
      </c>
      <c r="D14">
        <v>5.5369346405094002E-3</v>
      </c>
      <c r="E14">
        <v>0.15250197300297083</v>
      </c>
      <c r="F14">
        <v>5.6027217679006187E-3</v>
      </c>
      <c r="G14" t="e">
        <v>#DIV/0!</v>
      </c>
      <c r="H14">
        <v>6</v>
      </c>
      <c r="I14">
        <v>6</v>
      </c>
      <c r="J14">
        <v>6</v>
      </c>
      <c r="K14">
        <v>6</v>
      </c>
      <c r="L14">
        <v>6</v>
      </c>
      <c r="M14">
        <v>6</v>
      </c>
      <c r="N14">
        <v>6</v>
      </c>
      <c r="O14">
        <v>6</v>
      </c>
      <c r="P14">
        <v>6</v>
      </c>
      <c r="Q14">
        <v>6</v>
      </c>
      <c r="R14">
        <v>6</v>
      </c>
      <c r="S14">
        <v>6</v>
      </c>
      <c r="T14">
        <v>6</v>
      </c>
      <c r="U14">
        <v>6</v>
      </c>
      <c r="V14">
        <v>2</v>
      </c>
      <c r="W14">
        <v>0</v>
      </c>
      <c r="X14">
        <v>0</v>
      </c>
      <c r="Y14">
        <v>0</v>
      </c>
      <c r="Z14">
        <v>0</v>
      </c>
      <c r="AA14">
        <v>2</v>
      </c>
      <c r="AB14">
        <v>2</v>
      </c>
      <c r="AC14">
        <v>0</v>
      </c>
      <c r="AD14">
        <v>0</v>
      </c>
      <c r="AE14">
        <v>0</v>
      </c>
      <c r="AF14">
        <v>0</v>
      </c>
      <c r="AG14">
        <v>0</v>
      </c>
      <c r="AH14">
        <v>0</v>
      </c>
      <c r="AI14">
        <v>0</v>
      </c>
      <c r="AJ14">
        <v>3</v>
      </c>
      <c r="AK14">
        <v>3</v>
      </c>
      <c r="AL14">
        <v>0</v>
      </c>
      <c r="AM14">
        <v>6</v>
      </c>
      <c r="AN14">
        <v>6</v>
      </c>
      <c r="AO14">
        <v>6</v>
      </c>
      <c r="AP14">
        <v>6</v>
      </c>
      <c r="AQ14">
        <v>6</v>
      </c>
      <c r="AR14">
        <v>6</v>
      </c>
      <c r="AS14">
        <v>6</v>
      </c>
      <c r="AT14">
        <v>6</v>
      </c>
      <c r="AU14">
        <v>6</v>
      </c>
      <c r="AV14">
        <v>6</v>
      </c>
      <c r="AW14">
        <v>6</v>
      </c>
      <c r="AX14">
        <v>6</v>
      </c>
      <c r="AY14">
        <v>6</v>
      </c>
      <c r="AZ14">
        <v>6</v>
      </c>
      <c r="BA14">
        <v>6</v>
      </c>
      <c r="BB14">
        <v>6</v>
      </c>
      <c r="BC14">
        <v>6</v>
      </c>
      <c r="BD14">
        <v>6</v>
      </c>
      <c r="BE14">
        <v>0</v>
      </c>
      <c r="BF14">
        <v>0</v>
      </c>
      <c r="BG14">
        <v>6</v>
      </c>
      <c r="BH14">
        <v>180.5</v>
      </c>
      <c r="BI14">
        <v>6</v>
      </c>
      <c r="BJ14">
        <v>6</v>
      </c>
    </row>
    <row r="15" spans="1:62">
      <c r="A15" s="218" t="s">
        <v>331</v>
      </c>
      <c r="B15">
        <v>3</v>
      </c>
      <c r="C15">
        <v>3.5373638587390531E-2</v>
      </c>
      <c r="D15">
        <v>2.026727352956525E-4</v>
      </c>
      <c r="E15">
        <v>3.5391879066880579E-2</v>
      </c>
      <c r="F15">
        <v>2.0278094139832979E-4</v>
      </c>
      <c r="G15" t="e">
        <v>#DIV/0!</v>
      </c>
      <c r="H15">
        <v>3</v>
      </c>
      <c r="I15">
        <v>3</v>
      </c>
      <c r="J15">
        <v>3</v>
      </c>
      <c r="K15">
        <v>3</v>
      </c>
      <c r="L15">
        <v>3</v>
      </c>
      <c r="M15">
        <v>3</v>
      </c>
      <c r="N15">
        <v>3</v>
      </c>
      <c r="O15">
        <v>3</v>
      </c>
      <c r="P15">
        <v>3</v>
      </c>
      <c r="Q15">
        <v>3</v>
      </c>
      <c r="R15">
        <v>3</v>
      </c>
      <c r="S15">
        <v>3</v>
      </c>
      <c r="T15">
        <v>3</v>
      </c>
      <c r="U15">
        <v>3</v>
      </c>
      <c r="V15">
        <v>0</v>
      </c>
      <c r="W15">
        <v>0</v>
      </c>
      <c r="X15">
        <v>3</v>
      </c>
      <c r="Y15">
        <v>0</v>
      </c>
      <c r="Z15">
        <v>0</v>
      </c>
      <c r="AA15">
        <v>0</v>
      </c>
      <c r="AB15">
        <v>0</v>
      </c>
      <c r="AC15">
        <v>0</v>
      </c>
      <c r="AD15">
        <v>0</v>
      </c>
      <c r="AE15">
        <v>2</v>
      </c>
      <c r="AF15">
        <v>0</v>
      </c>
      <c r="AG15">
        <v>2</v>
      </c>
      <c r="AH15">
        <v>0</v>
      </c>
      <c r="AI15">
        <v>1</v>
      </c>
      <c r="AJ15">
        <v>0</v>
      </c>
      <c r="AK15">
        <v>0</v>
      </c>
      <c r="AL15">
        <v>0</v>
      </c>
      <c r="AM15">
        <v>3</v>
      </c>
      <c r="AN15">
        <v>3</v>
      </c>
      <c r="AO15">
        <v>3</v>
      </c>
      <c r="AP15">
        <v>3</v>
      </c>
      <c r="AQ15">
        <v>3</v>
      </c>
      <c r="AR15">
        <v>3</v>
      </c>
      <c r="AS15">
        <v>3</v>
      </c>
      <c r="AT15">
        <v>3</v>
      </c>
      <c r="AU15">
        <v>3</v>
      </c>
      <c r="AV15">
        <v>3</v>
      </c>
      <c r="AW15">
        <v>3</v>
      </c>
      <c r="AX15">
        <v>3</v>
      </c>
      <c r="AY15">
        <v>3</v>
      </c>
      <c r="AZ15">
        <v>3</v>
      </c>
      <c r="BA15">
        <v>3</v>
      </c>
      <c r="BB15">
        <v>3</v>
      </c>
      <c r="BC15">
        <v>3</v>
      </c>
      <c r="BD15">
        <v>3</v>
      </c>
      <c r="BE15">
        <v>0</v>
      </c>
      <c r="BF15">
        <v>3</v>
      </c>
      <c r="BG15">
        <v>3</v>
      </c>
      <c r="BH15">
        <v>6330.333333333333</v>
      </c>
      <c r="BI15">
        <v>3</v>
      </c>
      <c r="BJ15">
        <v>3</v>
      </c>
    </row>
    <row r="16" spans="1:62">
      <c r="A16" s="218" t="s">
        <v>267</v>
      </c>
      <c r="B16">
        <v>22</v>
      </c>
      <c r="C16">
        <v>3.8693233846490677E-2</v>
      </c>
      <c r="D16">
        <v>4.0932782952077268E-4</v>
      </c>
      <c r="E16">
        <v>3.8715158298460652E-2</v>
      </c>
      <c r="F16">
        <v>4.0977270515700682E-4</v>
      </c>
      <c r="G16" t="e">
        <v>#DIV/0!</v>
      </c>
      <c r="H16">
        <v>22</v>
      </c>
      <c r="I16">
        <v>22</v>
      </c>
      <c r="J16">
        <v>22</v>
      </c>
      <c r="K16">
        <v>22</v>
      </c>
      <c r="L16">
        <v>22</v>
      </c>
      <c r="M16">
        <v>22</v>
      </c>
      <c r="N16">
        <v>22</v>
      </c>
      <c r="O16">
        <v>22</v>
      </c>
      <c r="P16">
        <v>22</v>
      </c>
      <c r="Q16">
        <v>22</v>
      </c>
      <c r="R16">
        <v>22</v>
      </c>
      <c r="S16">
        <v>22</v>
      </c>
      <c r="T16">
        <v>22</v>
      </c>
      <c r="U16">
        <v>22</v>
      </c>
      <c r="V16">
        <v>0</v>
      </c>
      <c r="W16">
        <v>0</v>
      </c>
      <c r="X16">
        <v>12</v>
      </c>
      <c r="Y16">
        <v>10</v>
      </c>
      <c r="Z16">
        <v>0</v>
      </c>
      <c r="AA16">
        <v>0</v>
      </c>
      <c r="AB16">
        <v>0</v>
      </c>
      <c r="AC16">
        <v>0</v>
      </c>
      <c r="AD16">
        <v>0</v>
      </c>
      <c r="AE16">
        <v>0</v>
      </c>
      <c r="AF16">
        <v>0</v>
      </c>
      <c r="AG16">
        <v>0</v>
      </c>
      <c r="AH16">
        <v>0</v>
      </c>
      <c r="AI16">
        <v>0</v>
      </c>
      <c r="AJ16">
        <v>0</v>
      </c>
      <c r="AK16">
        <v>10</v>
      </c>
      <c r="AL16">
        <v>0</v>
      </c>
      <c r="AM16">
        <v>22</v>
      </c>
      <c r="AN16">
        <v>22</v>
      </c>
      <c r="AO16">
        <v>22</v>
      </c>
      <c r="AP16">
        <v>22</v>
      </c>
      <c r="AQ16">
        <v>22</v>
      </c>
      <c r="AR16">
        <v>22</v>
      </c>
      <c r="AS16">
        <v>22</v>
      </c>
      <c r="AT16">
        <v>22</v>
      </c>
      <c r="AU16">
        <v>22</v>
      </c>
      <c r="AV16">
        <v>22</v>
      </c>
      <c r="AW16">
        <v>22</v>
      </c>
      <c r="AX16">
        <v>22</v>
      </c>
      <c r="AY16">
        <v>22</v>
      </c>
      <c r="AZ16">
        <v>22</v>
      </c>
      <c r="BA16">
        <v>22</v>
      </c>
      <c r="BB16">
        <v>22</v>
      </c>
      <c r="BC16">
        <v>22</v>
      </c>
      <c r="BD16">
        <v>22</v>
      </c>
      <c r="BE16">
        <v>10</v>
      </c>
      <c r="BF16">
        <v>12</v>
      </c>
      <c r="BG16">
        <v>12</v>
      </c>
      <c r="BH16">
        <v>3806.7272727272725</v>
      </c>
      <c r="BI16">
        <v>22</v>
      </c>
      <c r="BJ16">
        <v>22</v>
      </c>
    </row>
    <row r="17" spans="1:62">
      <c r="A17" s="218" t="s">
        <v>172</v>
      </c>
      <c r="B17">
        <v>1</v>
      </c>
      <c r="C17">
        <v>1.1888103724369721E-2</v>
      </c>
      <c r="D17">
        <v>5.2241144082275201E-5</v>
      </c>
      <c r="E17">
        <v>1.1888663808582136E-2</v>
      </c>
      <c r="F17">
        <v>5.2246603970741903E-5</v>
      </c>
      <c r="G17" t="e">
        <v>#DIV/0!</v>
      </c>
      <c r="H17">
        <v>1</v>
      </c>
      <c r="I17">
        <v>1</v>
      </c>
      <c r="J17">
        <v>1</v>
      </c>
      <c r="K17">
        <v>1</v>
      </c>
      <c r="L17">
        <v>1</v>
      </c>
      <c r="M17">
        <v>1</v>
      </c>
      <c r="N17">
        <v>1</v>
      </c>
      <c r="O17">
        <v>1</v>
      </c>
      <c r="P17">
        <v>1</v>
      </c>
      <c r="Q17">
        <v>1</v>
      </c>
      <c r="R17">
        <v>1</v>
      </c>
      <c r="S17">
        <v>1</v>
      </c>
      <c r="T17">
        <v>1</v>
      </c>
      <c r="U17">
        <v>1</v>
      </c>
      <c r="V17">
        <v>0</v>
      </c>
      <c r="W17">
        <v>0</v>
      </c>
      <c r="X17">
        <v>1</v>
      </c>
      <c r="Y17">
        <v>0</v>
      </c>
      <c r="Z17">
        <v>0</v>
      </c>
      <c r="AA17">
        <v>0</v>
      </c>
      <c r="AB17">
        <v>0</v>
      </c>
      <c r="AC17">
        <v>0</v>
      </c>
      <c r="AD17">
        <v>1</v>
      </c>
      <c r="AE17">
        <v>0</v>
      </c>
      <c r="AF17">
        <v>0</v>
      </c>
      <c r="AG17">
        <v>0</v>
      </c>
      <c r="AH17">
        <v>0</v>
      </c>
      <c r="AI17">
        <v>0</v>
      </c>
      <c r="AJ17">
        <v>0</v>
      </c>
      <c r="AK17">
        <v>0</v>
      </c>
      <c r="AL17">
        <v>0</v>
      </c>
      <c r="AM17">
        <v>1</v>
      </c>
      <c r="AN17">
        <v>1</v>
      </c>
      <c r="AO17">
        <v>1</v>
      </c>
      <c r="AP17">
        <v>1</v>
      </c>
      <c r="AQ17">
        <v>1</v>
      </c>
      <c r="AR17">
        <v>1</v>
      </c>
      <c r="AS17">
        <v>1</v>
      </c>
      <c r="AT17">
        <v>1</v>
      </c>
      <c r="AU17">
        <v>1</v>
      </c>
      <c r="AV17">
        <v>1</v>
      </c>
      <c r="AW17">
        <v>1</v>
      </c>
      <c r="AX17">
        <v>1</v>
      </c>
      <c r="AY17">
        <v>1</v>
      </c>
      <c r="AZ17">
        <v>1</v>
      </c>
      <c r="BA17">
        <v>1</v>
      </c>
      <c r="BB17">
        <v>1</v>
      </c>
      <c r="BC17">
        <v>1</v>
      </c>
      <c r="BD17">
        <v>1</v>
      </c>
      <c r="BE17">
        <v>0</v>
      </c>
      <c r="BF17">
        <v>0</v>
      </c>
      <c r="BG17">
        <v>0</v>
      </c>
      <c r="BH17">
        <v>19141</v>
      </c>
      <c r="BI17">
        <v>1</v>
      </c>
      <c r="BJ17">
        <v>1</v>
      </c>
    </row>
    <row r="18" spans="1:62">
      <c r="A18" s="218" t="s">
        <v>654</v>
      </c>
      <c r="B18">
        <v>144</v>
      </c>
      <c r="C18" t="e">
        <v>#VALUE!</v>
      </c>
      <c r="D18" t="e">
        <v>#VALUE!</v>
      </c>
      <c r="E18" t="e">
        <v>#VALUE!</v>
      </c>
      <c r="F18">
        <v>9.9224427513618773E-3</v>
      </c>
      <c r="G18" t="e">
        <v>#VALUE!</v>
      </c>
      <c r="H18">
        <v>144</v>
      </c>
      <c r="I18">
        <v>144</v>
      </c>
      <c r="J18">
        <v>144</v>
      </c>
      <c r="K18">
        <v>144</v>
      </c>
      <c r="L18">
        <v>144</v>
      </c>
      <c r="M18">
        <v>144</v>
      </c>
      <c r="N18">
        <v>144</v>
      </c>
      <c r="O18">
        <v>144</v>
      </c>
      <c r="P18">
        <v>144</v>
      </c>
      <c r="Q18">
        <v>144</v>
      </c>
      <c r="R18">
        <v>144</v>
      </c>
      <c r="S18">
        <v>144</v>
      </c>
      <c r="T18">
        <v>144</v>
      </c>
      <c r="U18">
        <v>144</v>
      </c>
      <c r="V18">
        <v>6</v>
      </c>
      <c r="W18">
        <v>29</v>
      </c>
      <c r="X18">
        <v>59</v>
      </c>
      <c r="Y18">
        <v>32</v>
      </c>
      <c r="Z18">
        <v>2</v>
      </c>
      <c r="AA18">
        <v>29</v>
      </c>
      <c r="AB18">
        <v>6</v>
      </c>
      <c r="AC18">
        <v>0</v>
      </c>
      <c r="AD18">
        <v>6</v>
      </c>
      <c r="AE18">
        <v>14</v>
      </c>
      <c r="AF18">
        <v>3</v>
      </c>
      <c r="AG18">
        <v>25</v>
      </c>
      <c r="AH18">
        <v>6</v>
      </c>
      <c r="AI18">
        <v>15</v>
      </c>
      <c r="AJ18">
        <v>33</v>
      </c>
      <c r="AK18">
        <v>19</v>
      </c>
      <c r="AL18">
        <v>13</v>
      </c>
      <c r="AM18">
        <v>144</v>
      </c>
      <c r="AN18">
        <v>144</v>
      </c>
      <c r="AO18" t="e">
        <v>#NUM!</v>
      </c>
      <c r="AP18">
        <v>144</v>
      </c>
      <c r="AQ18">
        <v>144</v>
      </c>
      <c r="AR18">
        <v>144</v>
      </c>
      <c r="AS18">
        <v>144</v>
      </c>
      <c r="AT18" t="e">
        <v>#VALUE!</v>
      </c>
      <c r="AU18">
        <v>144</v>
      </c>
      <c r="AV18" t="e">
        <v>#NUM!</v>
      </c>
      <c r="AW18">
        <v>144</v>
      </c>
      <c r="AX18">
        <v>144</v>
      </c>
      <c r="AY18">
        <v>144</v>
      </c>
      <c r="AZ18">
        <v>144</v>
      </c>
      <c r="BA18">
        <v>144</v>
      </c>
      <c r="BB18">
        <v>144</v>
      </c>
      <c r="BC18">
        <v>144</v>
      </c>
      <c r="BD18">
        <v>144</v>
      </c>
      <c r="BE18">
        <v>37</v>
      </c>
      <c r="BF18">
        <v>41</v>
      </c>
      <c r="BG18">
        <v>99</v>
      </c>
      <c r="BH18">
        <v>2979.3680555555557</v>
      </c>
      <c r="BI18">
        <v>144</v>
      </c>
      <c r="BJ18">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9"/>
  <sheetViews>
    <sheetView topLeftCell="D1" zoomScale="115" zoomScaleNormal="70" workbookViewId="0">
      <pane ySplit="1" topLeftCell="A2" activePane="bottomLeft" state="frozen"/>
      <selection pane="bottomLeft" activeCell="I28" sqref="I28"/>
    </sheetView>
  </sheetViews>
  <sheetFormatPr baseColWidth="10" defaultColWidth="11" defaultRowHeight="16"/>
  <cols>
    <col min="3" max="3" width="15.5" customWidth="1"/>
    <col min="5" max="5" width="19.6640625" customWidth="1"/>
    <col min="6" max="6" width="22" customWidth="1"/>
    <col min="7" max="7" width="18.1640625" style="26" customWidth="1"/>
    <col min="8" max="8" width="20.5" customWidth="1"/>
    <col min="9" max="9" width="14.1640625" customWidth="1"/>
    <col min="10" max="10" width="15.1640625" customWidth="1"/>
  </cols>
  <sheetData>
    <row r="1" spans="1:19" ht="17">
      <c r="A1" t="s">
        <v>579</v>
      </c>
      <c r="B1" t="s">
        <v>189</v>
      </c>
      <c r="C1" s="1" t="s">
        <v>580</v>
      </c>
      <c r="D1" t="s">
        <v>10</v>
      </c>
      <c r="E1" s="1" t="s">
        <v>40</v>
      </c>
      <c r="F1" s="2" t="s">
        <v>9</v>
      </c>
      <c r="G1" s="37" t="s">
        <v>581</v>
      </c>
      <c r="H1" s="38" t="s">
        <v>186</v>
      </c>
      <c r="I1" s="40" t="s">
        <v>28</v>
      </c>
      <c r="J1" s="40" t="s">
        <v>7</v>
      </c>
      <c r="K1" s="40" t="s">
        <v>582</v>
      </c>
      <c r="L1" s="40" t="s">
        <v>187</v>
      </c>
      <c r="M1" s="40" t="s">
        <v>185</v>
      </c>
      <c r="N1" s="40" t="s">
        <v>50</v>
      </c>
      <c r="O1" s="40" t="s">
        <v>211</v>
      </c>
      <c r="P1" s="43" t="s">
        <v>200</v>
      </c>
      <c r="R1" s="40" t="s">
        <v>183</v>
      </c>
      <c r="S1" s="40" t="s">
        <v>4</v>
      </c>
    </row>
    <row r="2" spans="1:19" ht="34">
      <c r="A2">
        <v>0</v>
      </c>
      <c r="B2" t="s">
        <v>189</v>
      </c>
      <c r="C2" t="s">
        <v>240</v>
      </c>
      <c r="D2" t="s">
        <v>112</v>
      </c>
      <c r="E2">
        <v>1</v>
      </c>
      <c r="F2" t="s">
        <v>93</v>
      </c>
      <c r="G2" s="26" t="s">
        <v>277</v>
      </c>
      <c r="H2" t="s">
        <v>275</v>
      </c>
      <c r="I2" t="s">
        <v>80</v>
      </c>
      <c r="J2" t="s">
        <v>363</v>
      </c>
      <c r="K2" t="s">
        <v>225</v>
      </c>
      <c r="L2" t="s">
        <v>583</v>
      </c>
      <c r="M2" t="s">
        <v>221</v>
      </c>
      <c r="N2" t="s">
        <v>81</v>
      </c>
      <c r="O2" t="s">
        <v>377</v>
      </c>
      <c r="P2" s="42" t="s">
        <v>229</v>
      </c>
      <c r="R2" s="48" t="s">
        <v>584</v>
      </c>
      <c r="S2" s="48" t="s">
        <v>496</v>
      </c>
    </row>
    <row r="3" spans="1:19" ht="34">
      <c r="A3">
        <v>1</v>
      </c>
      <c r="B3" t="s">
        <v>324</v>
      </c>
      <c r="C3" t="s">
        <v>239</v>
      </c>
      <c r="D3" t="s">
        <v>259</v>
      </c>
      <c r="E3">
        <v>2</v>
      </c>
      <c r="F3" t="s">
        <v>331</v>
      </c>
      <c r="G3" s="26" t="s">
        <v>244</v>
      </c>
      <c r="H3" t="s">
        <v>260</v>
      </c>
      <c r="I3" t="s">
        <v>86</v>
      </c>
      <c r="J3" t="s">
        <v>585</v>
      </c>
      <c r="K3" t="s">
        <v>252</v>
      </c>
      <c r="L3" t="s">
        <v>276</v>
      </c>
      <c r="M3" t="s">
        <v>269</v>
      </c>
      <c r="N3" t="s">
        <v>148</v>
      </c>
      <c r="O3" t="s">
        <v>387</v>
      </c>
      <c r="P3" s="42" t="s">
        <v>273</v>
      </c>
      <c r="R3" s="47" t="s">
        <v>230</v>
      </c>
      <c r="S3" s="47" t="s">
        <v>586</v>
      </c>
    </row>
    <row r="4" spans="1:19" ht="51">
      <c r="A4" t="s">
        <v>73</v>
      </c>
      <c r="B4" t="s">
        <v>224</v>
      </c>
      <c r="C4" t="s">
        <v>73</v>
      </c>
      <c r="D4" t="s">
        <v>268</v>
      </c>
      <c r="E4">
        <v>3</v>
      </c>
      <c r="F4" t="s">
        <v>587</v>
      </c>
      <c r="G4" s="26" t="s">
        <v>227</v>
      </c>
      <c r="H4" t="s">
        <v>514</v>
      </c>
      <c r="J4" t="s">
        <v>299</v>
      </c>
      <c r="L4" t="s">
        <v>237</v>
      </c>
      <c r="M4" t="s">
        <v>235</v>
      </c>
      <c r="N4" t="s">
        <v>234</v>
      </c>
      <c r="O4" t="s">
        <v>278</v>
      </c>
      <c r="P4" s="42" t="s">
        <v>510</v>
      </c>
      <c r="R4" s="45" t="s">
        <v>466</v>
      </c>
      <c r="S4" s="45" t="s">
        <v>467</v>
      </c>
    </row>
    <row r="5" spans="1:19" ht="51">
      <c r="D5" t="s">
        <v>381</v>
      </c>
      <c r="F5" t="s">
        <v>120</v>
      </c>
      <c r="G5" s="41" t="s">
        <v>343</v>
      </c>
      <c r="H5" t="s">
        <v>222</v>
      </c>
      <c r="J5" s="42" t="s">
        <v>302</v>
      </c>
      <c r="L5" t="s">
        <v>588</v>
      </c>
      <c r="M5" t="s">
        <v>73</v>
      </c>
      <c r="N5" t="s">
        <v>124</v>
      </c>
      <c r="O5" s="42" t="s">
        <v>542</v>
      </c>
      <c r="P5" t="s">
        <v>73</v>
      </c>
      <c r="R5" s="47" t="s">
        <v>217</v>
      </c>
      <c r="S5" s="47" t="s">
        <v>589</v>
      </c>
    </row>
    <row r="6" spans="1:19">
      <c r="D6" s="42" t="s">
        <v>292</v>
      </c>
      <c r="F6" t="s">
        <v>590</v>
      </c>
      <c r="H6" t="s">
        <v>236</v>
      </c>
      <c r="J6" t="s">
        <v>280</v>
      </c>
      <c r="L6" t="s">
        <v>591</v>
      </c>
      <c r="N6" t="s">
        <v>307</v>
      </c>
      <c r="O6" t="s">
        <v>73</v>
      </c>
      <c r="R6" s="47" t="s">
        <v>255</v>
      </c>
      <c r="S6" s="47" t="s">
        <v>256</v>
      </c>
    </row>
    <row r="7" spans="1:19">
      <c r="F7" t="s">
        <v>246</v>
      </c>
      <c r="H7" t="s">
        <v>242</v>
      </c>
      <c r="J7" s="42" t="s">
        <v>305</v>
      </c>
      <c r="L7" t="s">
        <v>243</v>
      </c>
      <c r="N7" t="s">
        <v>426</v>
      </c>
      <c r="O7" t="s">
        <v>326</v>
      </c>
      <c r="R7" s="47" t="s">
        <v>524</v>
      </c>
      <c r="S7" s="47" t="s">
        <v>525</v>
      </c>
    </row>
    <row r="8" spans="1:19">
      <c r="F8" t="s">
        <v>107</v>
      </c>
      <c r="J8" s="42" t="s">
        <v>456</v>
      </c>
      <c r="L8" t="s">
        <v>326</v>
      </c>
      <c r="N8" t="s">
        <v>446</v>
      </c>
      <c r="R8" s="47" t="s">
        <v>397</v>
      </c>
      <c r="S8" s="47" t="s">
        <v>398</v>
      </c>
    </row>
    <row r="9" spans="1:19">
      <c r="F9" t="s">
        <v>306</v>
      </c>
      <c r="J9" t="s">
        <v>326</v>
      </c>
      <c r="L9" t="s">
        <v>565</v>
      </c>
      <c r="N9" t="s">
        <v>592</v>
      </c>
      <c r="R9" s="45" t="s">
        <v>563</v>
      </c>
      <c r="S9" s="45" t="s">
        <v>564</v>
      </c>
    </row>
    <row r="10" spans="1:19">
      <c r="F10" t="s">
        <v>155</v>
      </c>
      <c r="J10" t="s">
        <v>494</v>
      </c>
      <c r="L10" t="s">
        <v>270</v>
      </c>
      <c r="N10" t="s">
        <v>274</v>
      </c>
      <c r="R10" s="45" t="s">
        <v>297</v>
      </c>
      <c r="S10" s="45" t="s">
        <v>298</v>
      </c>
    </row>
    <row r="11" spans="1:19">
      <c r="F11" t="s">
        <v>245</v>
      </c>
      <c r="J11" t="s">
        <v>489</v>
      </c>
      <c r="N11" t="s">
        <v>281</v>
      </c>
      <c r="R11" s="45" t="s">
        <v>300</v>
      </c>
      <c r="S11" s="45" t="s">
        <v>301</v>
      </c>
    </row>
    <row r="12" spans="1:19">
      <c r="F12" t="s">
        <v>425</v>
      </c>
      <c r="J12" t="s">
        <v>73</v>
      </c>
      <c r="N12" t="s">
        <v>251</v>
      </c>
      <c r="R12" s="45" t="s">
        <v>593</v>
      </c>
      <c r="S12" s="45" t="s">
        <v>594</v>
      </c>
    </row>
    <row r="13" spans="1:19">
      <c r="F13" t="s">
        <v>220</v>
      </c>
      <c r="N13" t="s">
        <v>96</v>
      </c>
      <c r="R13" s="47" t="s">
        <v>423</v>
      </c>
      <c r="S13" s="47" t="s">
        <v>424</v>
      </c>
    </row>
    <row r="14" spans="1:19">
      <c r="F14" s="42" t="s">
        <v>368</v>
      </c>
      <c r="N14" t="s">
        <v>364</v>
      </c>
      <c r="R14" s="45" t="s">
        <v>470</v>
      </c>
      <c r="S14" s="45" t="s">
        <v>471</v>
      </c>
    </row>
    <row r="15" spans="1:19">
      <c r="F15" s="42" t="s">
        <v>155</v>
      </c>
      <c r="N15" t="s">
        <v>382</v>
      </c>
      <c r="R15" s="47" t="s">
        <v>241</v>
      </c>
      <c r="S15" s="47" t="s">
        <v>595</v>
      </c>
    </row>
    <row r="16" spans="1:19">
      <c r="F16" s="42" t="s">
        <v>596</v>
      </c>
      <c r="N16" t="s">
        <v>156</v>
      </c>
      <c r="R16" s="47" t="s">
        <v>399</v>
      </c>
      <c r="S16" s="47" t="s">
        <v>400</v>
      </c>
    </row>
    <row r="17" spans="6:19">
      <c r="F17" s="42" t="s">
        <v>308</v>
      </c>
      <c r="N17" t="s">
        <v>527</v>
      </c>
      <c r="R17" s="45" t="s">
        <v>546</v>
      </c>
      <c r="S17" s="45" t="s">
        <v>547</v>
      </c>
    </row>
    <row r="18" spans="6:19">
      <c r="F18" s="42" t="s">
        <v>291</v>
      </c>
      <c r="N18" t="s">
        <v>437</v>
      </c>
      <c r="R18" s="47" t="s">
        <v>578</v>
      </c>
      <c r="S18" s="47" t="s">
        <v>127</v>
      </c>
    </row>
    <row r="19" spans="6:19">
      <c r="F19" s="42" t="s">
        <v>345</v>
      </c>
      <c r="N19" t="s">
        <v>597</v>
      </c>
      <c r="R19" s="45" t="s">
        <v>375</v>
      </c>
      <c r="S19" t="s">
        <v>376</v>
      </c>
    </row>
    <row r="20" spans="6:19">
      <c r="F20" s="42" t="s">
        <v>342</v>
      </c>
      <c r="N20" t="s">
        <v>598</v>
      </c>
      <c r="R20" s="47" t="s">
        <v>314</v>
      </c>
      <c r="S20" s="47" t="s">
        <v>315</v>
      </c>
    </row>
    <row r="21" spans="6:19">
      <c r="F21" s="42" t="s">
        <v>344</v>
      </c>
      <c r="N21" t="s">
        <v>332</v>
      </c>
      <c r="R21" s="45" t="s">
        <v>388</v>
      </c>
      <c r="S21" s="45" t="s">
        <v>389</v>
      </c>
    </row>
    <row r="22" spans="6:19">
      <c r="F22" s="42" t="s">
        <v>417</v>
      </c>
      <c r="N22" t="s">
        <v>138</v>
      </c>
      <c r="R22" s="47" t="s">
        <v>388</v>
      </c>
      <c r="S22" s="47" t="s">
        <v>599</v>
      </c>
    </row>
    <row r="23" spans="6:19">
      <c r="F23" s="42" t="s">
        <v>267</v>
      </c>
      <c r="N23" t="s">
        <v>600</v>
      </c>
      <c r="R23" s="45" t="s">
        <v>601</v>
      </c>
      <c r="S23" s="45" t="s">
        <v>329</v>
      </c>
    </row>
    <row r="24" spans="6:19">
      <c r="F24" s="42" t="s">
        <v>602</v>
      </c>
      <c r="N24" t="s">
        <v>414</v>
      </c>
      <c r="R24" s="45" t="s">
        <v>303</v>
      </c>
      <c r="S24" s="45" t="s">
        <v>304</v>
      </c>
    </row>
    <row r="25" spans="6:19">
      <c r="F25" s="42" t="s">
        <v>391</v>
      </c>
      <c r="N25" t="s">
        <v>472</v>
      </c>
      <c r="R25" s="45" t="s">
        <v>548</v>
      </c>
      <c r="S25" s="45" t="s">
        <v>549</v>
      </c>
    </row>
    <row r="26" spans="6:19">
      <c r="F26" s="42" t="s">
        <v>603</v>
      </c>
      <c r="N26" t="s">
        <v>478</v>
      </c>
      <c r="R26" s="45" t="s">
        <v>604</v>
      </c>
      <c r="S26" s="45" t="s">
        <v>605</v>
      </c>
    </row>
    <row r="27" spans="6:19">
      <c r="F27" s="42" t="s">
        <v>485</v>
      </c>
      <c r="N27" t="s">
        <v>360</v>
      </c>
      <c r="R27" s="45" t="s">
        <v>606</v>
      </c>
      <c r="S27" s="45" t="s">
        <v>607</v>
      </c>
    </row>
    <row r="28" spans="6:19">
      <c r="F28" s="42" t="s">
        <v>477</v>
      </c>
      <c r="N28" t="s">
        <v>497</v>
      </c>
      <c r="R28" s="45" t="s">
        <v>540</v>
      </c>
      <c r="S28" s="45" t="s">
        <v>541</v>
      </c>
    </row>
    <row r="29" spans="6:19">
      <c r="F29" s="42" t="s">
        <v>172</v>
      </c>
      <c r="N29" t="s">
        <v>498</v>
      </c>
      <c r="R29" s="45" t="s">
        <v>279</v>
      </c>
      <c r="S29" s="45" t="s">
        <v>608</v>
      </c>
    </row>
    <row r="30" spans="6:19">
      <c r="F30" s="42" t="s">
        <v>609</v>
      </c>
      <c r="N30" t="s">
        <v>499</v>
      </c>
      <c r="R30" s="45" t="s">
        <v>610</v>
      </c>
      <c r="S30" s="45" t="s">
        <v>611</v>
      </c>
    </row>
    <row r="31" spans="6:19">
      <c r="N31" t="s">
        <v>174</v>
      </c>
      <c r="R31" s="45" t="s">
        <v>288</v>
      </c>
      <c r="S31" s="45" t="s">
        <v>289</v>
      </c>
    </row>
    <row r="32" spans="6:19">
      <c r="N32" t="s">
        <v>323</v>
      </c>
      <c r="R32" s="45" t="s">
        <v>612</v>
      </c>
      <c r="S32" s="45" t="s">
        <v>613</v>
      </c>
    </row>
    <row r="33" spans="14:19">
      <c r="N33" t="s">
        <v>131</v>
      </c>
      <c r="R33" s="45" t="s">
        <v>614</v>
      </c>
      <c r="S33" s="45" t="s">
        <v>615</v>
      </c>
    </row>
    <row r="34" spans="14:19">
      <c r="R34" s="45" t="s">
        <v>505</v>
      </c>
      <c r="S34" s="45" t="s">
        <v>506</v>
      </c>
    </row>
    <row r="35" spans="14:19">
      <c r="R35" s="45" t="s">
        <v>561</v>
      </c>
      <c r="S35" s="45" t="s">
        <v>562</v>
      </c>
    </row>
    <row r="36" spans="14:19">
      <c r="R36" s="45" t="s">
        <v>454</v>
      </c>
      <c r="S36" s="45" t="s">
        <v>455</v>
      </c>
    </row>
    <row r="37" spans="14:19">
      <c r="R37" s="47" t="s">
        <v>616</v>
      </c>
      <c r="S37" s="47" t="s">
        <v>617</v>
      </c>
    </row>
    <row r="38" spans="14:19">
      <c r="R38" s="47" t="s">
        <v>515</v>
      </c>
      <c r="S38" s="47" t="s">
        <v>516</v>
      </c>
    </row>
    <row r="39" spans="14:19">
      <c r="R39" s="47" t="s">
        <v>515</v>
      </c>
      <c r="S39" s="47" t="s">
        <v>574</v>
      </c>
    </row>
    <row r="40" spans="14:19">
      <c r="R40" s="45" t="s">
        <v>373</v>
      </c>
      <c r="S40" s="45" t="s">
        <v>374</v>
      </c>
    </row>
    <row r="41" spans="14:19">
      <c r="R41" s="45" t="s">
        <v>557</v>
      </c>
      <c r="S41" s="45" t="s">
        <v>558</v>
      </c>
    </row>
    <row r="42" spans="14:19">
      <c r="R42" s="47" t="s">
        <v>401</v>
      </c>
      <c r="S42" s="47" t="s">
        <v>618</v>
      </c>
    </row>
    <row r="43" spans="14:19">
      <c r="R43" s="47" t="s">
        <v>401</v>
      </c>
      <c r="S43" s="47" t="s">
        <v>402</v>
      </c>
    </row>
    <row r="44" spans="14:19">
      <c r="R44" s="45" t="s">
        <v>434</v>
      </c>
      <c r="S44" s="17" t="s">
        <v>117</v>
      </c>
    </row>
    <row r="45" spans="14:19">
      <c r="R45" s="47" t="s">
        <v>443</v>
      </c>
      <c r="S45" s="47" t="s">
        <v>444</v>
      </c>
    </row>
    <row r="46" spans="14:19">
      <c r="R46" s="45" t="s">
        <v>411</v>
      </c>
      <c r="S46" s="45" t="s">
        <v>412</v>
      </c>
    </row>
    <row r="47" spans="14:19">
      <c r="R47" s="47" t="s">
        <v>309</v>
      </c>
      <c r="S47" s="47" t="s">
        <v>310</v>
      </c>
    </row>
    <row r="48" spans="14:19">
      <c r="R48" s="45" t="s">
        <v>488</v>
      </c>
      <c r="S48" s="45" t="s">
        <v>619</v>
      </c>
    </row>
    <row r="49" spans="18:19">
      <c r="R49" s="45" t="s">
        <v>428</v>
      </c>
      <c r="S49" s="45" t="s">
        <v>429</v>
      </c>
    </row>
    <row r="50" spans="18:19">
      <c r="R50" s="45" t="s">
        <v>492</v>
      </c>
      <c r="S50" s="45" t="s">
        <v>493</v>
      </c>
    </row>
    <row r="51" spans="18:19">
      <c r="R51" s="45" t="s">
        <v>340</v>
      </c>
      <c r="S51" s="45" t="s">
        <v>341</v>
      </c>
    </row>
    <row r="52" spans="18:19">
      <c r="R52" s="45" t="s">
        <v>365</v>
      </c>
      <c r="S52" s="45" t="s">
        <v>620</v>
      </c>
    </row>
    <row r="53" spans="18:19">
      <c r="R53" s="45" t="s">
        <v>320</v>
      </c>
      <c r="S53" s="17" t="s">
        <v>321</v>
      </c>
    </row>
    <row r="54" spans="18:19">
      <c r="R54" s="45" t="s">
        <v>449</v>
      </c>
      <c r="S54" s="45" t="s">
        <v>450</v>
      </c>
    </row>
    <row r="55" spans="18:19">
      <c r="R55" s="45" t="s">
        <v>361</v>
      </c>
      <c r="S55" s="45" t="s">
        <v>362</v>
      </c>
    </row>
    <row r="56" spans="18:19">
      <c r="R56" s="45" t="s">
        <v>621</v>
      </c>
      <c r="S56" s="45" t="s">
        <v>622</v>
      </c>
    </row>
    <row r="57" spans="18:19">
      <c r="R57" s="45" t="s">
        <v>502</v>
      </c>
      <c r="S57" s="45" t="s">
        <v>623</v>
      </c>
    </row>
    <row r="58" spans="18:19">
      <c r="R58" s="45" t="s">
        <v>512</v>
      </c>
      <c r="S58" s="45" t="s">
        <v>513</v>
      </c>
    </row>
    <row r="59" spans="18:19">
      <c r="R59" s="45" t="s">
        <v>473</v>
      </c>
      <c r="S59" s="45" t="s">
        <v>474</v>
      </c>
    </row>
    <row r="60" spans="18:19">
      <c r="R60" s="45" t="s">
        <v>624</v>
      </c>
      <c r="S60" s="45" t="s">
        <v>625</v>
      </c>
    </row>
    <row r="61" spans="18:19">
      <c r="R61" s="45" t="s">
        <v>347</v>
      </c>
      <c r="S61" s="45" t="s">
        <v>626</v>
      </c>
    </row>
    <row r="62" spans="18:19">
      <c r="R62" s="45" t="s">
        <v>263</v>
      </c>
      <c r="S62" s="45" t="s">
        <v>627</v>
      </c>
    </row>
    <row r="63" spans="18:19">
      <c r="R63" s="45" t="s">
        <v>550</v>
      </c>
      <c r="S63" s="45" t="s">
        <v>551</v>
      </c>
    </row>
    <row r="64" spans="18:19">
      <c r="R64" s="45" t="s">
        <v>628</v>
      </c>
      <c r="S64" s="45" t="s">
        <v>629</v>
      </c>
    </row>
    <row r="65" spans="18:19">
      <c r="R65" s="45" t="s">
        <v>461</v>
      </c>
      <c r="S65" s="45" t="s">
        <v>462</v>
      </c>
    </row>
    <row r="66" spans="18:19">
      <c r="R66" s="45" t="s">
        <v>630</v>
      </c>
      <c r="S66" s="45" t="s">
        <v>631</v>
      </c>
    </row>
    <row r="67" spans="18:19">
      <c r="R67" s="45" t="s">
        <v>559</v>
      </c>
      <c r="S67" s="45" t="s">
        <v>560</v>
      </c>
    </row>
    <row r="68" spans="18:19">
      <c r="R68" s="45" t="s">
        <v>632</v>
      </c>
      <c r="S68" s="45" t="s">
        <v>633</v>
      </c>
    </row>
    <row r="69" spans="18:19">
      <c r="R69" s="45" t="s">
        <v>634</v>
      </c>
      <c r="S69" s="45" t="s">
        <v>635</v>
      </c>
    </row>
    <row r="70" spans="18:19">
      <c r="R70" s="45" t="s">
        <v>464</v>
      </c>
      <c r="S70" s="45" t="s">
        <v>465</v>
      </c>
    </row>
    <row r="71" spans="18:19">
      <c r="R71" s="45" t="s">
        <v>459</v>
      </c>
      <c r="S71" s="45" t="s">
        <v>460</v>
      </c>
    </row>
    <row r="72" spans="18:19">
      <c r="R72" s="45" t="s">
        <v>283</v>
      </c>
      <c r="S72" t="s">
        <v>284</v>
      </c>
    </row>
    <row r="73" spans="18:19">
      <c r="R73" s="47" t="s">
        <v>283</v>
      </c>
      <c r="S73" s="47" t="s">
        <v>636</v>
      </c>
    </row>
    <row r="74" spans="18:19">
      <c r="R74" s="45" t="s">
        <v>468</v>
      </c>
      <c r="S74" s="45" t="s">
        <v>469</v>
      </c>
    </row>
    <row r="75" spans="18:19">
      <c r="R75" s="47" t="s">
        <v>405</v>
      </c>
      <c r="S75" s="47" t="s">
        <v>406</v>
      </c>
    </row>
    <row r="76" spans="18:19">
      <c r="R76" s="45" t="s">
        <v>495</v>
      </c>
      <c r="S76" s="45" t="s">
        <v>637</v>
      </c>
    </row>
    <row r="77" spans="18:19">
      <c r="R77" s="45" t="s">
        <v>543</v>
      </c>
      <c r="S77" s="45" t="s">
        <v>544</v>
      </c>
    </row>
    <row r="78" spans="18:19">
      <c r="R78" s="47" t="s">
        <v>435</v>
      </c>
      <c r="S78" s="47" t="s">
        <v>436</v>
      </c>
    </row>
    <row r="79" spans="18:19">
      <c r="R79" s="47" t="s">
        <v>531</v>
      </c>
      <c r="S79" s="47" t="s">
        <v>532</v>
      </c>
    </row>
    <row r="80" spans="18:19">
      <c r="R80" s="45" t="s">
        <v>638</v>
      </c>
      <c r="S80" s="45" t="s">
        <v>639</v>
      </c>
    </row>
    <row r="81" spans="18:19">
      <c r="R81" s="45" t="s">
        <v>640</v>
      </c>
      <c r="S81" s="45" t="s">
        <v>641</v>
      </c>
    </row>
    <row r="82" spans="18:19">
      <c r="R82" s="45" t="s">
        <v>457</v>
      </c>
      <c r="S82" s="45" t="s">
        <v>458</v>
      </c>
    </row>
    <row r="83" spans="18:19">
      <c r="R83" s="47" t="s">
        <v>439</v>
      </c>
      <c r="S83" s="47" t="s">
        <v>440</v>
      </c>
    </row>
    <row r="84" spans="18:19">
      <c r="R84" s="47" t="s">
        <v>439</v>
      </c>
      <c r="S84" s="47" t="s">
        <v>577</v>
      </c>
    </row>
    <row r="85" spans="18:19">
      <c r="R85" s="45" t="s">
        <v>642</v>
      </c>
      <c r="S85" s="45" t="s">
        <v>643</v>
      </c>
    </row>
    <row r="86" spans="18:19">
      <c r="R86" s="45" t="s">
        <v>500</v>
      </c>
      <c r="S86" s="45" t="s">
        <v>501</v>
      </c>
    </row>
    <row r="87" spans="18:19">
      <c r="R87" s="45" t="s">
        <v>403</v>
      </c>
      <c r="S87" s="45" t="s">
        <v>404</v>
      </c>
    </row>
    <row r="88" spans="18:19">
      <c r="R88" s="45" t="s">
        <v>378</v>
      </c>
      <c r="S88" s="45" t="s">
        <v>379</v>
      </c>
    </row>
    <row r="89" spans="18:19">
      <c r="R89" s="45" t="s">
        <v>371</v>
      </c>
      <c r="S89" s="45" t="s">
        <v>372</v>
      </c>
    </row>
    <row r="90" spans="18:19">
      <c r="R90" s="45" t="s">
        <v>644</v>
      </c>
      <c r="S90" s="45" t="s">
        <v>645</v>
      </c>
    </row>
    <row r="91" spans="18:19">
      <c r="R91" s="45" t="s">
        <v>418</v>
      </c>
      <c r="S91" s="45" t="s">
        <v>419</v>
      </c>
    </row>
    <row r="92" spans="18:19">
      <c r="R92" s="45" t="s">
        <v>475</v>
      </c>
      <c r="S92" s="45" t="s">
        <v>476</v>
      </c>
    </row>
    <row r="93" spans="18:19">
      <c r="R93" s="45" t="s">
        <v>479</v>
      </c>
      <c r="S93" t="s">
        <v>480</v>
      </c>
    </row>
    <row r="94" spans="18:19">
      <c r="R94" s="45" t="s">
        <v>481</v>
      </c>
      <c r="S94" s="45" t="s">
        <v>482</v>
      </c>
    </row>
    <row r="95" spans="18:19">
      <c r="R95" s="45" t="s">
        <v>483</v>
      </c>
      <c r="S95" s="45" t="s">
        <v>484</v>
      </c>
    </row>
    <row r="96" spans="18:19">
      <c r="R96" s="45" t="s">
        <v>486</v>
      </c>
      <c r="S96" t="s">
        <v>487</v>
      </c>
    </row>
    <row r="97" spans="18:19">
      <c r="R97" s="45" t="s">
        <v>576</v>
      </c>
      <c r="S97" s="58" t="s">
        <v>577</v>
      </c>
    </row>
    <row r="98" spans="18:19">
      <c r="R98" s="58" t="s">
        <v>537</v>
      </c>
      <c r="S98" s="32" t="s">
        <v>133</v>
      </c>
    </row>
    <row r="99" spans="18:19">
      <c r="R99" s="45" t="s">
        <v>646</v>
      </c>
      <c r="S99" t="s">
        <v>647</v>
      </c>
    </row>
  </sheetData>
  <sortState xmlns:xlrd2="http://schemas.microsoft.com/office/spreadsheetml/2017/richdata2" ref="R2:S91">
    <sortCondition ref="R2:R91"/>
  </sortState>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Usage</vt:lpstr>
      <vt:lpstr>Appliances</vt:lpstr>
      <vt:lpstr>Summary</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2022-02-16T16:21:16Z</dcterms:created>
  <dcterms:modified xsi:type="dcterms:W3CDTF">2023-05-16T11:32:35Z</dcterms:modified>
  <cp:category/>
  <cp:contentStatus/>
</cp:coreProperties>
</file>